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ngelnekegrayson/Documents/Excel_PT/"/>
    </mc:Choice>
  </mc:AlternateContent>
  <xr:revisionPtr revIDLastSave="0" documentId="13_ncr:1_{D1C5BC30-84E2-E846-831F-8B11CE752E0F}" xr6:coauthVersionLast="47" xr6:coauthVersionMax="47" xr10:uidLastSave="{00000000-0000-0000-0000-000000000000}"/>
  <bookViews>
    <workbookView xWindow="1480" yWindow="2000" windowWidth="25540" windowHeight="12680" activeTab="1" xr2:uid="{346C1587-C338-B644-9B59-818446D1FF2A}"/>
  </bookViews>
  <sheets>
    <sheet name="Pivot table" sheetId="3" r:id="rId1"/>
    <sheet name="Sheet1" sheetId="4" r:id="rId2"/>
    <sheet name="hr_dashboard_data" sheetId="1" r:id="rId3"/>
  </sheets>
  <calcPr calcId="181029"/>
  <pivotCaches>
    <pivotCache cacheId="45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4" l="1"/>
  <c r="E4" i="4"/>
  <c r="E2" i="4"/>
  <c r="D3" i="4"/>
  <c r="D4" i="4"/>
  <c r="D2" i="4"/>
</calcChain>
</file>

<file path=xl/sharedStrings.xml><?xml version="1.0" encoding="utf-8"?>
<sst xmlns="http://schemas.openxmlformats.org/spreadsheetml/2006/main" count="872" uniqueCount="232">
  <si>
    <t>Name</t>
  </si>
  <si>
    <t>Age</t>
  </si>
  <si>
    <t>Gender</t>
  </si>
  <si>
    <t>Projects Completed</t>
  </si>
  <si>
    <t>Productivity (%)</t>
  </si>
  <si>
    <t>Satisfaction Rate (%)</t>
  </si>
  <si>
    <t>Feedback Score</t>
  </si>
  <si>
    <t>Department</t>
  </si>
  <si>
    <t>Position</t>
  </si>
  <si>
    <t>Joining Date</t>
  </si>
  <si>
    <t>Salary</t>
  </si>
  <si>
    <t>Douglas Lindsey</t>
  </si>
  <si>
    <t>Male</t>
  </si>
  <si>
    <t>Marketing</t>
  </si>
  <si>
    <t>Analyst</t>
  </si>
  <si>
    <t>Anthony Roberson</t>
  </si>
  <si>
    <t>Female</t>
  </si>
  <si>
    <t>IT</t>
  </si>
  <si>
    <t>Manager</t>
  </si>
  <si>
    <t>Thomas Miller</t>
  </si>
  <si>
    <t>Joshua Lewis</t>
  </si>
  <si>
    <t>Intern</t>
  </si>
  <si>
    <t>Stephanie Bailey</t>
  </si>
  <si>
    <t>Team Lead</t>
  </si>
  <si>
    <t>Jonathan King</t>
  </si>
  <si>
    <t>Sales</t>
  </si>
  <si>
    <t>Junior Developer</t>
  </si>
  <si>
    <t>Kyle Figueroa</t>
  </si>
  <si>
    <t>Shannon Allen</t>
  </si>
  <si>
    <t>HR</t>
  </si>
  <si>
    <t>Daryl Noble</t>
  </si>
  <si>
    <t>Tracy Figueroa</t>
  </si>
  <si>
    <t>Eric Sanders</t>
  </si>
  <si>
    <t>Finance</t>
  </si>
  <si>
    <t>Senior Developer</t>
  </si>
  <si>
    <t>Joshua Nelson</t>
  </si>
  <si>
    <t>Donald Davis</t>
  </si>
  <si>
    <t>Ms. Emily Dawson</t>
  </si>
  <si>
    <t>Angela Davis</t>
  </si>
  <si>
    <t>Melissa Galvan</t>
  </si>
  <si>
    <t>Erin Smith</t>
  </si>
  <si>
    <t>James Hernandez</t>
  </si>
  <si>
    <t>Amanda White</t>
  </si>
  <si>
    <t>Michael Morton DDS</t>
  </si>
  <si>
    <t>Michelle Moreno</t>
  </si>
  <si>
    <t>Shannon Wilson</t>
  </si>
  <si>
    <t>Chad Zamora</t>
  </si>
  <si>
    <t>Stephanie Rivera</t>
  </si>
  <si>
    <t>Tracy Briggs</t>
  </si>
  <si>
    <t>Kimberly Cooper</t>
  </si>
  <si>
    <t>Heather Mueller</t>
  </si>
  <si>
    <t>Susan Johnson</t>
  </si>
  <si>
    <t>Stephen Watson</t>
  </si>
  <si>
    <t>Amanda Brown</t>
  </si>
  <si>
    <t>Michelle Perez</t>
  </si>
  <si>
    <t>Kim Larson</t>
  </si>
  <si>
    <t>Emily Palmer</t>
  </si>
  <si>
    <t>Steven Anderson</t>
  </si>
  <si>
    <t>Dennis Nash</t>
  </si>
  <si>
    <t>Robin Hurst</t>
  </si>
  <si>
    <t>Samantha Williams</t>
  </si>
  <si>
    <t>Jesse Solis</t>
  </si>
  <si>
    <t>Carlos Bush</t>
  </si>
  <si>
    <t>Vicki Kim</t>
  </si>
  <si>
    <t>Karen Harmon</t>
  </si>
  <si>
    <t>Alexandra Wilson</t>
  </si>
  <si>
    <t>Stephanie Lawson</t>
  </si>
  <si>
    <t>Walter Barker</t>
  </si>
  <si>
    <t>Mallory Lawrence</t>
  </si>
  <si>
    <t>Jonathan Stanley</t>
  </si>
  <si>
    <t>Jamie Wells</t>
  </si>
  <si>
    <t>James Berg</t>
  </si>
  <si>
    <t>Elizabeth Bowen</t>
  </si>
  <si>
    <t>Cynthia Ochoa</t>
  </si>
  <si>
    <t>Kristine Smith</t>
  </si>
  <si>
    <t>Walter Jones</t>
  </si>
  <si>
    <t>Brian Anderson</t>
  </si>
  <si>
    <t>Alexis Smith DDS</t>
  </si>
  <si>
    <t>Jessica Robinson</t>
  </si>
  <si>
    <t>Harold Nguyen</t>
  </si>
  <si>
    <t>Marilyn Williams</t>
  </si>
  <si>
    <t>Victoria Townsend</t>
  </si>
  <si>
    <t>David Odom</t>
  </si>
  <si>
    <t>Melissa Nguyen</t>
  </si>
  <si>
    <t>Rachel Harris</t>
  </si>
  <si>
    <t>Lori Garcia</t>
  </si>
  <si>
    <t>Dr. Corey Orr</t>
  </si>
  <si>
    <t>Janet Campbell</t>
  </si>
  <si>
    <t>Glen Johnson</t>
  </si>
  <si>
    <t>Brandon Vega</t>
  </si>
  <si>
    <t>Maria Short</t>
  </si>
  <si>
    <t>Alejandro Rice</t>
  </si>
  <si>
    <t>Debra Chen</t>
  </si>
  <si>
    <t>Dana Taylor</t>
  </si>
  <si>
    <t>Jordan Morales</t>
  </si>
  <si>
    <t>Gregory Wong</t>
  </si>
  <si>
    <t>Thomas Baxter</t>
  </si>
  <si>
    <t>Amy Garcia</t>
  </si>
  <si>
    <t>Bradley Paul</t>
  </si>
  <si>
    <t>John Moore</t>
  </si>
  <si>
    <t>Allison Smith</t>
  </si>
  <si>
    <t>Melissa Dunn</t>
  </si>
  <si>
    <t>Daniel Mata</t>
  </si>
  <si>
    <t>Paula Gamble</t>
  </si>
  <si>
    <t>Sarah Fernandez</t>
  </si>
  <si>
    <t>Kathryn Scott</t>
  </si>
  <si>
    <t>Steven Schroeder</t>
  </si>
  <si>
    <t>Calvin Mullen</t>
  </si>
  <si>
    <t>Mark Wilson</t>
  </si>
  <si>
    <t>Debbie Torres</t>
  </si>
  <si>
    <t>Carrie Lowe DVM</t>
  </si>
  <si>
    <t>Jerry Mccoy</t>
  </si>
  <si>
    <t>Ashley Bradshaw</t>
  </si>
  <si>
    <t>Molly Jones</t>
  </si>
  <si>
    <t>Daniel Young</t>
  </si>
  <si>
    <t>Sarah Levy</t>
  </si>
  <si>
    <t>Susan Foley</t>
  </si>
  <si>
    <t>Gail Taylor</t>
  </si>
  <si>
    <t>Colleen Jacobson</t>
  </si>
  <si>
    <t>Patricia Campos</t>
  </si>
  <si>
    <t>Amy Carr</t>
  </si>
  <si>
    <t>Renee Jones</t>
  </si>
  <si>
    <t>Cheryl Spencer</t>
  </si>
  <si>
    <t>Mary Barber</t>
  </si>
  <si>
    <t>Christy Snyder</t>
  </si>
  <si>
    <t>Tracy Morris</t>
  </si>
  <si>
    <t>Brittany Jackson</t>
  </si>
  <si>
    <t>Ronald Flores</t>
  </si>
  <si>
    <t>William Taylor</t>
  </si>
  <si>
    <t>Jeffrey Hodges</t>
  </si>
  <si>
    <t>Michael Raymond</t>
  </si>
  <si>
    <t>Patrick Green</t>
  </si>
  <si>
    <t>Jennifer Gilbert</t>
  </si>
  <si>
    <t>Justin Williams</t>
  </si>
  <si>
    <t>Kevin Welch</t>
  </si>
  <si>
    <t>Jackie Holden</t>
  </si>
  <si>
    <t>Brian Thomas</t>
  </si>
  <si>
    <t>Danielle Rodriguez</t>
  </si>
  <si>
    <t>Kathleen May</t>
  </si>
  <si>
    <t>Robert Ward</t>
  </si>
  <si>
    <t>Samantha Baldwin</t>
  </si>
  <si>
    <t>Michael Moore</t>
  </si>
  <si>
    <t>Mr. Brandon Weber</t>
  </si>
  <si>
    <t>Adrian Walker</t>
  </si>
  <si>
    <t>Michael Rodriguez</t>
  </si>
  <si>
    <t>Johnathan Williams</t>
  </si>
  <si>
    <t>Nicholas Johnson</t>
  </si>
  <si>
    <t>Jeffery Fields</t>
  </si>
  <si>
    <t>Dawn Martin</t>
  </si>
  <si>
    <t>Jill Anderson</t>
  </si>
  <si>
    <t>Alicia Butler</t>
  </si>
  <si>
    <t>Samantha Allen</t>
  </si>
  <si>
    <t>Geoffrey Kelley</t>
  </si>
  <si>
    <t>James Lee</t>
  </si>
  <si>
    <t>Michael Perez</t>
  </si>
  <si>
    <t>John Elliott</t>
  </si>
  <si>
    <t>Stacy Wilson</t>
  </si>
  <si>
    <t>Patrick Manning</t>
  </si>
  <si>
    <t>Denise Singleton</t>
  </si>
  <si>
    <t>Alyssa Montoya</t>
  </si>
  <si>
    <t>Rhonda Skinner</t>
  </si>
  <si>
    <t>Timothy Avery</t>
  </si>
  <si>
    <t>Angela Carpenter</t>
  </si>
  <si>
    <t>Andrew Johnson</t>
  </si>
  <si>
    <t>Jessica Tate</t>
  </si>
  <si>
    <t>Matthew Martin</t>
  </si>
  <si>
    <t>Timothy Johnson</t>
  </si>
  <si>
    <t>James Reese</t>
  </si>
  <si>
    <t>Katrina Williams</t>
  </si>
  <si>
    <t>Jasmine Payne</t>
  </si>
  <si>
    <t>Mrs. Heidi Villa</t>
  </si>
  <si>
    <t>Patricia Collins</t>
  </si>
  <si>
    <t>Cesar Davis</t>
  </si>
  <si>
    <t>Brett Butler</t>
  </si>
  <si>
    <t>Cristina Garcia</t>
  </si>
  <si>
    <t>Joshua White</t>
  </si>
  <si>
    <t>Bethany Castro</t>
  </si>
  <si>
    <t>Mary Singh</t>
  </si>
  <si>
    <t>Scott Johnson</t>
  </si>
  <si>
    <t>Matthew Moran</t>
  </si>
  <si>
    <t>Susan Hill</t>
  </si>
  <si>
    <t>Sherry Werner</t>
  </si>
  <si>
    <t>Jon Hays</t>
  </si>
  <si>
    <t>Kelly Bryant</t>
  </si>
  <si>
    <t>Ryan Avila</t>
  </si>
  <si>
    <t>Jenny Riley</t>
  </si>
  <si>
    <t>Elizabeth Williams</t>
  </si>
  <si>
    <t>Michael Oneal</t>
  </si>
  <si>
    <t>Daniel Lopez</t>
  </si>
  <si>
    <t>William Thomas</t>
  </si>
  <si>
    <t>Anthony Barton</t>
  </si>
  <si>
    <t>William Reed</t>
  </si>
  <si>
    <t>Yvette Hughes</t>
  </si>
  <si>
    <t>Leslie Wallace</t>
  </si>
  <si>
    <t>Alexis Hickman</t>
  </si>
  <si>
    <t>Mrs. Laura Gonzalez</t>
  </si>
  <si>
    <t>Joshua Fowler</t>
  </si>
  <si>
    <t>Shannon Gray</t>
  </si>
  <si>
    <t>Vincent Jones</t>
  </si>
  <si>
    <t>Cindy West</t>
  </si>
  <si>
    <t>Autumn Taylor</t>
  </si>
  <si>
    <t>Patricia Ortega</t>
  </si>
  <si>
    <t>Andrew Dalton</t>
  </si>
  <si>
    <t>Michael Riley</t>
  </si>
  <si>
    <t>Kara Garcia</t>
  </si>
  <si>
    <t>Carrie Smith</t>
  </si>
  <si>
    <t>Dr. Shane Lewis</t>
  </si>
  <si>
    <t>Russell Newton</t>
  </si>
  <si>
    <t>Robert Gonzalez</t>
  </si>
  <si>
    <t>Tyrone Underwood</t>
  </si>
  <si>
    <t>Brian Delgado</t>
  </si>
  <si>
    <t>Manuel Sanchez</t>
  </si>
  <si>
    <t>Joshua Chen</t>
  </si>
  <si>
    <t>Douglas Sweeney</t>
  </si>
  <si>
    <t>Joseph Friedman</t>
  </si>
  <si>
    <t>Steven Hernandez</t>
  </si>
  <si>
    <t>Shannon Ingram</t>
  </si>
  <si>
    <t>Drew Rojas</t>
  </si>
  <si>
    <t>Michael Baker</t>
  </si>
  <si>
    <t>Stephanie Fisher</t>
  </si>
  <si>
    <t>Jeremy Miller</t>
  </si>
  <si>
    <t>Daniel Pierce</t>
  </si>
  <si>
    <t>Michael Hernandez</t>
  </si>
  <si>
    <t>Victor Gutierrez</t>
  </si>
  <si>
    <t>Row Labels</t>
  </si>
  <si>
    <t>Grand Total</t>
  </si>
  <si>
    <t>Sum of Projects Completed</t>
  </si>
  <si>
    <t>Average of Productivity (%)</t>
  </si>
  <si>
    <t>(All)</t>
  </si>
  <si>
    <t>Average of Satisfaction Rate (%)</t>
  </si>
  <si>
    <t xml:space="preserve">Name </t>
  </si>
  <si>
    <t xml:space="preserve">Projects Completed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</si>
</sst>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" fontId="0" fillId="0" borderId="0" xfId="0" applyNumberFormat="1"/>
    <xf numFmtId="1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[hr_dashboard_data.xlsm]Pivot table!PivotTable8</c:name>
    <c:fmtId val="0"/>
  </c:pivotSource>
  <c:chart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1530453822887224E-2"/>
          <c:y val="3.8554216867469883E-2"/>
          <c:w val="0.69579751470579143"/>
          <c:h val="0.81283938905227204"/>
        </c:manualLayout>
      </c:layout>
      <c:lineChart>
        <c:grouping val="stacked"/>
        <c:varyColors val="0"/>
        <c:ser>
          <c:idx val="0"/>
          <c:order val="0"/>
          <c:tx>
            <c:strRef>
              <c:f>'Pivot table'!$B$5</c:f>
              <c:strCache>
                <c:ptCount val="1"/>
                <c:pt idx="0">
                  <c:v>Sum of Projects Completed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'Pivot table'!$A$6:$A$42</c:f>
              <c:multiLvlStrCache>
                <c:ptCount val="30"/>
                <c:lvl>
                  <c:pt idx="0">
                    <c:v>Finance</c:v>
                  </c:pt>
                  <c:pt idx="1">
                    <c:v>HR</c:v>
                  </c:pt>
                  <c:pt idx="2">
                    <c:v>IT</c:v>
                  </c:pt>
                  <c:pt idx="3">
                    <c:v>Marketing</c:v>
                  </c:pt>
                  <c:pt idx="4">
                    <c:v>Sales</c:v>
                  </c:pt>
                  <c:pt idx="5">
                    <c:v>Finance</c:v>
                  </c:pt>
                  <c:pt idx="6">
                    <c:v>HR</c:v>
                  </c:pt>
                  <c:pt idx="7">
                    <c:v>IT</c:v>
                  </c:pt>
                  <c:pt idx="8">
                    <c:v>Marketing</c:v>
                  </c:pt>
                  <c:pt idx="9">
                    <c:v>Sales</c:v>
                  </c:pt>
                  <c:pt idx="10">
                    <c:v>Finance</c:v>
                  </c:pt>
                  <c:pt idx="11">
                    <c:v>HR</c:v>
                  </c:pt>
                  <c:pt idx="12">
                    <c:v>IT</c:v>
                  </c:pt>
                  <c:pt idx="13">
                    <c:v>Marketing</c:v>
                  </c:pt>
                  <c:pt idx="14">
                    <c:v>Sales</c:v>
                  </c:pt>
                  <c:pt idx="15">
                    <c:v>Finance</c:v>
                  </c:pt>
                  <c:pt idx="16">
                    <c:v>HR</c:v>
                  </c:pt>
                  <c:pt idx="17">
                    <c:v>IT</c:v>
                  </c:pt>
                  <c:pt idx="18">
                    <c:v>Marketing</c:v>
                  </c:pt>
                  <c:pt idx="19">
                    <c:v>Sales</c:v>
                  </c:pt>
                  <c:pt idx="20">
                    <c:v>Finance</c:v>
                  </c:pt>
                  <c:pt idx="21">
                    <c:v>HR</c:v>
                  </c:pt>
                  <c:pt idx="22">
                    <c:v>IT</c:v>
                  </c:pt>
                  <c:pt idx="23">
                    <c:v>Marketing</c:v>
                  </c:pt>
                  <c:pt idx="24">
                    <c:v>Sales</c:v>
                  </c:pt>
                  <c:pt idx="25">
                    <c:v>Finance</c:v>
                  </c:pt>
                  <c:pt idx="26">
                    <c:v>HR</c:v>
                  </c:pt>
                  <c:pt idx="27">
                    <c:v>IT</c:v>
                  </c:pt>
                  <c:pt idx="28">
                    <c:v>Marketing</c:v>
                  </c:pt>
                  <c:pt idx="29">
                    <c:v>Sales</c:v>
                  </c:pt>
                </c:lvl>
                <c:lvl>
                  <c:pt idx="0">
                    <c:v>Analyst</c:v>
                  </c:pt>
                  <c:pt idx="5">
                    <c:v>Intern</c:v>
                  </c:pt>
                  <c:pt idx="10">
                    <c:v>Junior Developer</c:v>
                  </c:pt>
                  <c:pt idx="15">
                    <c:v>Manager</c:v>
                  </c:pt>
                  <c:pt idx="20">
                    <c:v>Senior Developer</c:v>
                  </c:pt>
                  <c:pt idx="25">
                    <c:v>Team Lead</c:v>
                  </c:pt>
                </c:lvl>
              </c:multiLvlStrCache>
            </c:multiLvlStrRef>
          </c:cat>
          <c:val>
            <c:numRef>
              <c:f>'Pivot table'!$B$6:$B$42</c:f>
              <c:numCache>
                <c:formatCode>General</c:formatCode>
                <c:ptCount val="30"/>
                <c:pt idx="0">
                  <c:v>74</c:v>
                </c:pt>
                <c:pt idx="1">
                  <c:v>33</c:v>
                </c:pt>
                <c:pt idx="2">
                  <c:v>43</c:v>
                </c:pt>
                <c:pt idx="3">
                  <c:v>84</c:v>
                </c:pt>
                <c:pt idx="4">
                  <c:v>76</c:v>
                </c:pt>
                <c:pt idx="5">
                  <c:v>8</c:v>
                </c:pt>
                <c:pt idx="6">
                  <c:v>26</c:v>
                </c:pt>
                <c:pt idx="7">
                  <c:v>14</c:v>
                </c:pt>
                <c:pt idx="8">
                  <c:v>12</c:v>
                </c:pt>
                <c:pt idx="9">
                  <c:v>21</c:v>
                </c:pt>
                <c:pt idx="10">
                  <c:v>68</c:v>
                </c:pt>
                <c:pt idx="11">
                  <c:v>17</c:v>
                </c:pt>
                <c:pt idx="12">
                  <c:v>45</c:v>
                </c:pt>
                <c:pt idx="13">
                  <c:v>62</c:v>
                </c:pt>
                <c:pt idx="14">
                  <c:v>45</c:v>
                </c:pt>
                <c:pt idx="15">
                  <c:v>215</c:v>
                </c:pt>
                <c:pt idx="16">
                  <c:v>98</c:v>
                </c:pt>
                <c:pt idx="17">
                  <c:v>178</c:v>
                </c:pt>
                <c:pt idx="18">
                  <c:v>151</c:v>
                </c:pt>
                <c:pt idx="19">
                  <c:v>157</c:v>
                </c:pt>
                <c:pt idx="20">
                  <c:v>31</c:v>
                </c:pt>
                <c:pt idx="21">
                  <c:v>89</c:v>
                </c:pt>
                <c:pt idx="22">
                  <c:v>79</c:v>
                </c:pt>
                <c:pt idx="23">
                  <c:v>70</c:v>
                </c:pt>
                <c:pt idx="24">
                  <c:v>116</c:v>
                </c:pt>
                <c:pt idx="25">
                  <c:v>109</c:v>
                </c:pt>
                <c:pt idx="26">
                  <c:v>74</c:v>
                </c:pt>
                <c:pt idx="27">
                  <c:v>84</c:v>
                </c:pt>
                <c:pt idx="28">
                  <c:v>114</c:v>
                </c:pt>
                <c:pt idx="2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0A-6A46-A4B2-616BF47A212D}"/>
            </c:ext>
          </c:extLst>
        </c:ser>
        <c:ser>
          <c:idx val="1"/>
          <c:order val="1"/>
          <c:tx>
            <c:strRef>
              <c:f>'Pivot table'!$C$5</c:f>
              <c:strCache>
                <c:ptCount val="1"/>
                <c:pt idx="0">
                  <c:v>Average of Satisfaction Rate (%)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'Pivot table'!$A$6:$A$42</c:f>
              <c:multiLvlStrCache>
                <c:ptCount val="30"/>
                <c:lvl>
                  <c:pt idx="0">
                    <c:v>Finance</c:v>
                  </c:pt>
                  <c:pt idx="1">
                    <c:v>HR</c:v>
                  </c:pt>
                  <c:pt idx="2">
                    <c:v>IT</c:v>
                  </c:pt>
                  <c:pt idx="3">
                    <c:v>Marketing</c:v>
                  </c:pt>
                  <c:pt idx="4">
                    <c:v>Sales</c:v>
                  </c:pt>
                  <c:pt idx="5">
                    <c:v>Finance</c:v>
                  </c:pt>
                  <c:pt idx="6">
                    <c:v>HR</c:v>
                  </c:pt>
                  <c:pt idx="7">
                    <c:v>IT</c:v>
                  </c:pt>
                  <c:pt idx="8">
                    <c:v>Marketing</c:v>
                  </c:pt>
                  <c:pt idx="9">
                    <c:v>Sales</c:v>
                  </c:pt>
                  <c:pt idx="10">
                    <c:v>Finance</c:v>
                  </c:pt>
                  <c:pt idx="11">
                    <c:v>HR</c:v>
                  </c:pt>
                  <c:pt idx="12">
                    <c:v>IT</c:v>
                  </c:pt>
                  <c:pt idx="13">
                    <c:v>Marketing</c:v>
                  </c:pt>
                  <c:pt idx="14">
                    <c:v>Sales</c:v>
                  </c:pt>
                  <c:pt idx="15">
                    <c:v>Finance</c:v>
                  </c:pt>
                  <c:pt idx="16">
                    <c:v>HR</c:v>
                  </c:pt>
                  <c:pt idx="17">
                    <c:v>IT</c:v>
                  </c:pt>
                  <c:pt idx="18">
                    <c:v>Marketing</c:v>
                  </c:pt>
                  <c:pt idx="19">
                    <c:v>Sales</c:v>
                  </c:pt>
                  <c:pt idx="20">
                    <c:v>Finance</c:v>
                  </c:pt>
                  <c:pt idx="21">
                    <c:v>HR</c:v>
                  </c:pt>
                  <c:pt idx="22">
                    <c:v>IT</c:v>
                  </c:pt>
                  <c:pt idx="23">
                    <c:v>Marketing</c:v>
                  </c:pt>
                  <c:pt idx="24">
                    <c:v>Sales</c:v>
                  </c:pt>
                  <c:pt idx="25">
                    <c:v>Finance</c:v>
                  </c:pt>
                  <c:pt idx="26">
                    <c:v>HR</c:v>
                  </c:pt>
                  <c:pt idx="27">
                    <c:v>IT</c:v>
                  </c:pt>
                  <c:pt idx="28">
                    <c:v>Marketing</c:v>
                  </c:pt>
                  <c:pt idx="29">
                    <c:v>Sales</c:v>
                  </c:pt>
                </c:lvl>
                <c:lvl>
                  <c:pt idx="0">
                    <c:v>Analyst</c:v>
                  </c:pt>
                  <c:pt idx="5">
                    <c:v>Intern</c:v>
                  </c:pt>
                  <c:pt idx="10">
                    <c:v>Junior Developer</c:v>
                  </c:pt>
                  <c:pt idx="15">
                    <c:v>Manager</c:v>
                  </c:pt>
                  <c:pt idx="20">
                    <c:v>Senior Developer</c:v>
                  </c:pt>
                  <c:pt idx="25">
                    <c:v>Team Lead</c:v>
                  </c:pt>
                </c:lvl>
              </c:multiLvlStrCache>
            </c:multiLvlStrRef>
          </c:cat>
          <c:val>
            <c:numRef>
              <c:f>'Pivot table'!$C$6:$C$42</c:f>
              <c:numCache>
                <c:formatCode>General</c:formatCode>
                <c:ptCount val="30"/>
                <c:pt idx="0">
                  <c:v>42.333333333333336</c:v>
                </c:pt>
                <c:pt idx="1">
                  <c:v>51.5</c:v>
                </c:pt>
                <c:pt idx="2">
                  <c:v>46.2</c:v>
                </c:pt>
                <c:pt idx="3">
                  <c:v>32.714285714285715</c:v>
                </c:pt>
                <c:pt idx="4">
                  <c:v>33.25</c:v>
                </c:pt>
                <c:pt idx="5">
                  <c:v>40.666666666666664</c:v>
                </c:pt>
                <c:pt idx="6">
                  <c:v>62.875</c:v>
                </c:pt>
                <c:pt idx="7">
                  <c:v>69.5</c:v>
                </c:pt>
                <c:pt idx="8">
                  <c:v>41</c:v>
                </c:pt>
                <c:pt idx="9">
                  <c:v>56.555555555555557</c:v>
                </c:pt>
                <c:pt idx="10">
                  <c:v>60.75</c:v>
                </c:pt>
                <c:pt idx="11">
                  <c:v>59.666666666666664</c:v>
                </c:pt>
                <c:pt idx="12">
                  <c:v>54.571428571428569</c:v>
                </c:pt>
                <c:pt idx="13">
                  <c:v>54.888888888888886</c:v>
                </c:pt>
                <c:pt idx="14">
                  <c:v>43.875</c:v>
                </c:pt>
                <c:pt idx="15">
                  <c:v>52.909090909090907</c:v>
                </c:pt>
                <c:pt idx="16">
                  <c:v>24.8</c:v>
                </c:pt>
                <c:pt idx="17">
                  <c:v>54</c:v>
                </c:pt>
                <c:pt idx="18">
                  <c:v>68.285714285714292</c:v>
                </c:pt>
                <c:pt idx="19">
                  <c:v>69.125</c:v>
                </c:pt>
                <c:pt idx="20">
                  <c:v>56.333333333333336</c:v>
                </c:pt>
                <c:pt idx="21">
                  <c:v>60.571428571428569</c:v>
                </c:pt>
                <c:pt idx="22">
                  <c:v>49.428571428571431</c:v>
                </c:pt>
                <c:pt idx="23">
                  <c:v>39.200000000000003</c:v>
                </c:pt>
                <c:pt idx="24">
                  <c:v>47.125</c:v>
                </c:pt>
                <c:pt idx="25">
                  <c:v>44.571428571428569</c:v>
                </c:pt>
                <c:pt idx="26">
                  <c:v>43.2</c:v>
                </c:pt>
                <c:pt idx="27">
                  <c:v>57</c:v>
                </c:pt>
                <c:pt idx="28">
                  <c:v>36.25</c:v>
                </c:pt>
                <c:pt idx="29">
                  <c:v>38.166666666666664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A-6A46-A4B2-616BF47A212D}"/>
            </c:ext>
          </c:extLst>
        </c:ser>
        <c:ser>
          <c:idx val="2"/>
          <c:order val="2"/>
          <c:tx>
            <c:strRef>
              <c:f>'Pivot table'!$D$5</c:f>
              <c:strCache>
                <c:ptCount val="1"/>
                <c:pt idx="0">
                  <c:v>Average of Productivity (%)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'Pivot table'!$A$6:$A$42</c:f>
              <c:multiLvlStrCache>
                <c:ptCount val="30"/>
                <c:lvl>
                  <c:pt idx="0">
                    <c:v>Finance</c:v>
                  </c:pt>
                  <c:pt idx="1">
                    <c:v>HR</c:v>
                  </c:pt>
                  <c:pt idx="2">
                    <c:v>IT</c:v>
                  </c:pt>
                  <c:pt idx="3">
                    <c:v>Marketing</c:v>
                  </c:pt>
                  <c:pt idx="4">
                    <c:v>Sales</c:v>
                  </c:pt>
                  <c:pt idx="5">
                    <c:v>Finance</c:v>
                  </c:pt>
                  <c:pt idx="6">
                    <c:v>HR</c:v>
                  </c:pt>
                  <c:pt idx="7">
                    <c:v>IT</c:v>
                  </c:pt>
                  <c:pt idx="8">
                    <c:v>Marketing</c:v>
                  </c:pt>
                  <c:pt idx="9">
                    <c:v>Sales</c:v>
                  </c:pt>
                  <c:pt idx="10">
                    <c:v>Finance</c:v>
                  </c:pt>
                  <c:pt idx="11">
                    <c:v>HR</c:v>
                  </c:pt>
                  <c:pt idx="12">
                    <c:v>IT</c:v>
                  </c:pt>
                  <c:pt idx="13">
                    <c:v>Marketing</c:v>
                  </c:pt>
                  <c:pt idx="14">
                    <c:v>Sales</c:v>
                  </c:pt>
                  <c:pt idx="15">
                    <c:v>Finance</c:v>
                  </c:pt>
                  <c:pt idx="16">
                    <c:v>HR</c:v>
                  </c:pt>
                  <c:pt idx="17">
                    <c:v>IT</c:v>
                  </c:pt>
                  <c:pt idx="18">
                    <c:v>Marketing</c:v>
                  </c:pt>
                  <c:pt idx="19">
                    <c:v>Sales</c:v>
                  </c:pt>
                  <c:pt idx="20">
                    <c:v>Finance</c:v>
                  </c:pt>
                  <c:pt idx="21">
                    <c:v>HR</c:v>
                  </c:pt>
                  <c:pt idx="22">
                    <c:v>IT</c:v>
                  </c:pt>
                  <c:pt idx="23">
                    <c:v>Marketing</c:v>
                  </c:pt>
                  <c:pt idx="24">
                    <c:v>Sales</c:v>
                  </c:pt>
                  <c:pt idx="25">
                    <c:v>Finance</c:v>
                  </c:pt>
                  <c:pt idx="26">
                    <c:v>HR</c:v>
                  </c:pt>
                  <c:pt idx="27">
                    <c:v>IT</c:v>
                  </c:pt>
                  <c:pt idx="28">
                    <c:v>Marketing</c:v>
                  </c:pt>
                  <c:pt idx="29">
                    <c:v>Sales</c:v>
                  </c:pt>
                </c:lvl>
                <c:lvl>
                  <c:pt idx="0">
                    <c:v>Analyst</c:v>
                  </c:pt>
                  <c:pt idx="5">
                    <c:v>Intern</c:v>
                  </c:pt>
                  <c:pt idx="10">
                    <c:v>Junior Developer</c:v>
                  </c:pt>
                  <c:pt idx="15">
                    <c:v>Manager</c:v>
                  </c:pt>
                  <c:pt idx="20">
                    <c:v>Senior Developer</c:v>
                  </c:pt>
                  <c:pt idx="25">
                    <c:v>Team Lead</c:v>
                  </c:pt>
                </c:lvl>
              </c:multiLvlStrCache>
            </c:multiLvlStrRef>
          </c:cat>
          <c:val>
            <c:numRef>
              <c:f>'Pivot table'!$D$6:$D$42</c:f>
              <c:numCache>
                <c:formatCode>General</c:formatCode>
                <c:ptCount val="30"/>
                <c:pt idx="0">
                  <c:v>36.111111111111114</c:v>
                </c:pt>
                <c:pt idx="1">
                  <c:v>28</c:v>
                </c:pt>
                <c:pt idx="2">
                  <c:v>49.4</c:v>
                </c:pt>
                <c:pt idx="3">
                  <c:v>52.714285714285715</c:v>
                </c:pt>
                <c:pt idx="4">
                  <c:v>52.125</c:v>
                </c:pt>
                <c:pt idx="5">
                  <c:v>62</c:v>
                </c:pt>
                <c:pt idx="6">
                  <c:v>46.5</c:v>
                </c:pt>
                <c:pt idx="7">
                  <c:v>52.25</c:v>
                </c:pt>
                <c:pt idx="8">
                  <c:v>27.166666666666668</c:v>
                </c:pt>
                <c:pt idx="9">
                  <c:v>34.444444444444443</c:v>
                </c:pt>
                <c:pt idx="10">
                  <c:v>33.625</c:v>
                </c:pt>
                <c:pt idx="11">
                  <c:v>26.666666666666668</c:v>
                </c:pt>
                <c:pt idx="12">
                  <c:v>75.857142857142861</c:v>
                </c:pt>
                <c:pt idx="13">
                  <c:v>55</c:v>
                </c:pt>
                <c:pt idx="14">
                  <c:v>57</c:v>
                </c:pt>
                <c:pt idx="15">
                  <c:v>47</c:v>
                </c:pt>
                <c:pt idx="16">
                  <c:v>70.2</c:v>
                </c:pt>
                <c:pt idx="17">
                  <c:v>45.777777777777779</c:v>
                </c:pt>
                <c:pt idx="18">
                  <c:v>54.428571428571431</c:v>
                </c:pt>
                <c:pt idx="19">
                  <c:v>35.75</c:v>
                </c:pt>
                <c:pt idx="20">
                  <c:v>27.333333333333332</c:v>
                </c:pt>
                <c:pt idx="21">
                  <c:v>57.571428571428569</c:v>
                </c:pt>
                <c:pt idx="22">
                  <c:v>57.142857142857146</c:v>
                </c:pt>
                <c:pt idx="23">
                  <c:v>33.6</c:v>
                </c:pt>
                <c:pt idx="24">
                  <c:v>56.75</c:v>
                </c:pt>
                <c:pt idx="25">
                  <c:v>50.571428571428569</c:v>
                </c:pt>
                <c:pt idx="26">
                  <c:v>44.4</c:v>
                </c:pt>
                <c:pt idx="27">
                  <c:v>57</c:v>
                </c:pt>
                <c:pt idx="28">
                  <c:v>35.375</c:v>
                </c:pt>
                <c:pt idx="29">
                  <c:v>25.833333333333332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A-6A46-A4B2-616BF47A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752879"/>
        <c:axId val="1017199007"/>
      </c:lineChart>
      <c:catAx>
        <c:axId val="101775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199007"/>
        <c:crosses val="autoZero"/>
        <c:auto val="1"/>
        <c:lblAlgn val="ctr"/>
        <c:lblOffset val="100"/>
        <c:noMultiLvlLbl val="0"/>
      </c:catAx>
      <c:valAx>
        <c:axId val="101719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752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4</xdr:row>
      <xdr:rowOff>0</xdr:rowOff>
    </xdr:from>
    <xdr:to>
      <xdr:col>42</xdr:col>
      <xdr:colOff>0</xdr:colOff>
      <xdr:row>29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CEFE3B-273C-93AF-13E2-BAE2AE0F5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neke Grayson" refreshedDate="45403.985081481478" createdVersion="8" refreshedVersion="8" minRefreshableVersion="3" recordCount="200" xr:uid="{557615EC-B320-6042-A5D4-44EF8A2C9B92}">
  <cacheSource type="worksheet">
    <worksheetSource ref="A1:K201" sheet="hr_dashboard_data"/>
  </cacheSource>
  <cacheFields count="11">
    <cacheField name="Name" numFmtId="0">
      <sharedItems containsNonDate="0"/>
    </cacheField>
    <cacheField name="Age" numFmtId="0">
      <sharedItems containsSemiMixedTypes="0" containsString="0" containsNumber="1" containsInteger="1" minValue="22" maxValue="60" count="35">
        <n v="25"/>
        <n v="59"/>
        <n v="30"/>
        <n v="26"/>
        <n v="43"/>
        <n v="24"/>
        <n v="33"/>
        <n v="23"/>
        <n v="39"/>
        <n v="36"/>
        <n v="42"/>
        <n v="32"/>
        <n v="29"/>
        <n v="40"/>
        <n v="46"/>
        <n v="41"/>
        <n v="27"/>
        <n v="45"/>
        <n v="35"/>
        <n v="34"/>
        <n v="58"/>
        <n v="44"/>
        <n v="28"/>
        <n v="31"/>
        <n v="38"/>
        <n v="47"/>
        <n v="22"/>
        <n v="51"/>
        <n v="57"/>
        <n v="49"/>
        <n v="50"/>
        <n v="54"/>
        <n v="55"/>
        <n v="48"/>
        <n v="60"/>
      </sharedItems>
    </cacheField>
    <cacheField name="Gender" numFmtId="0">
      <sharedItems containsNonDate="0" count="2">
        <s v="Male"/>
        <s v="Female"/>
      </sharedItems>
    </cacheField>
    <cacheField name="Projects Completed" numFmtId="0">
      <sharedItems containsSemiMixedTypes="0" containsString="0" containsNumber="1" containsInteger="1" minValue="0" maxValue="25"/>
    </cacheField>
    <cacheField name="Productivity (%)" numFmtId="0">
      <sharedItems containsSemiMixedTypes="0" containsString="0" containsNumber="1" containsInteger="1" minValue="0" maxValue="98" count="82">
        <n v="57"/>
        <n v="55"/>
        <n v="87"/>
        <n v="53"/>
        <n v="3"/>
        <n v="63"/>
        <n v="41"/>
        <n v="92"/>
        <n v="32"/>
        <n v="10"/>
        <n v="45"/>
        <n v="9"/>
        <n v="15"/>
        <n v="88"/>
        <n v="44"/>
        <n v="22"/>
        <n v="1"/>
        <n v="29"/>
        <n v="46"/>
        <n v="76"/>
        <n v="18"/>
        <n v="26"/>
        <n v="0"/>
        <n v="84"/>
        <n v="86"/>
        <n v="93"/>
        <n v="95"/>
        <n v="37"/>
        <n v="47"/>
        <n v="77"/>
        <n v="23"/>
        <n v="58"/>
        <n v="14"/>
        <n v="61"/>
        <n v="90"/>
        <n v="33"/>
        <n v="16"/>
        <n v="42"/>
        <n v="60"/>
        <n v="70"/>
        <n v="81"/>
        <n v="75"/>
        <n v="13"/>
        <n v="68"/>
        <n v="74"/>
        <n v="39"/>
        <n v="20"/>
        <n v="48"/>
        <n v="28"/>
        <n v="40"/>
        <n v="65"/>
        <n v="31"/>
        <n v="30"/>
        <n v="96"/>
        <n v="5"/>
        <n v="2"/>
        <n v="50"/>
        <n v="89"/>
        <n v="38"/>
        <n v="94"/>
        <n v="54"/>
        <n v="56"/>
        <n v="80"/>
        <n v="67"/>
        <n v="7"/>
        <n v="52"/>
        <n v="11"/>
        <n v="35"/>
        <n v="71"/>
        <n v="19"/>
        <n v="51"/>
        <n v="98"/>
        <n v="43"/>
        <n v="66"/>
        <n v="59"/>
        <n v="79"/>
        <n v="27"/>
        <n v="69"/>
        <n v="97"/>
        <n v="34"/>
        <n v="85"/>
        <n v="36"/>
      </sharedItems>
    </cacheField>
    <cacheField name="Satisfaction Rate (%)" numFmtId="0">
      <sharedItems containsSemiMixedTypes="0" containsString="0" containsNumber="1" containsInteger="1" minValue="0" maxValue="100"/>
    </cacheField>
    <cacheField name="Feedback Score" numFmtId="0">
      <sharedItems containsSemiMixedTypes="0" containsString="0" containsNumber="1" minValue="1" maxValue="4.9000000000000004"/>
    </cacheField>
    <cacheField name="Department" numFmtId="0">
      <sharedItems containsNonDate="0" count="5">
        <s v="Marketing"/>
        <s v="IT"/>
        <s v="Sales"/>
        <s v="HR"/>
        <s v="Finance"/>
      </sharedItems>
    </cacheField>
    <cacheField name="Position" numFmtId="0">
      <sharedItems containsNonDate="0" count="6">
        <s v="Analyst"/>
        <s v="Manager"/>
        <s v="Intern"/>
        <s v="Team Lead"/>
        <s v="Junior Developer"/>
        <s v="Senior Developer"/>
      </sharedItems>
    </cacheField>
    <cacheField name="Joining Date" numFmtId="0">
      <sharedItems containsSemiMixedTypes="0" containsNonDate="0" containsDate="1" containsString="0" minDate="1998-01-01T00:00:00" maxDate="2024-01-23T00:00:00" count="25">
        <d v="2024-01-20T00:00:00"/>
        <d v="1999-01-01T00:00:00"/>
        <d v="2024-01-17T00:00:00"/>
        <d v="2024-01-22T00:00:00"/>
        <d v="2024-01-05T00:00:00"/>
        <d v="2024-01-21T00:00:00"/>
        <d v="2024-01-18T00:00:00"/>
        <d v="2024-01-19T00:00:00"/>
        <d v="2024-01-04T00:00:00"/>
        <d v="2024-01-13T00:00:00"/>
        <d v="2024-01-07T00:00:00"/>
        <d v="2024-01-11T00:00:00"/>
        <d v="2024-01-12T00:00:00"/>
        <d v="2024-01-08T00:00:00"/>
        <d v="2024-01-06T00:00:00"/>
        <d v="2024-01-01T00:00:00"/>
        <d v="2024-01-14T00:00:00"/>
        <d v="2024-01-16T00:00:00"/>
        <d v="2024-01-10T00:00:00"/>
        <d v="2024-01-09T00:00:00"/>
        <d v="2024-01-03T00:00:00"/>
        <d v="2024-01-15T00:00:00"/>
        <d v="1998-01-01T00:00:00"/>
        <d v="2000-01-01T00:00:00"/>
        <d v="2024-01-02T00:00:00"/>
      </sharedItems>
    </cacheField>
    <cacheField name="Salary" numFmtId="0">
      <sharedItems containsSemiMixedTypes="0" containsString="0" containsNumber="1" containsInteger="1" minValue="30231" maxValue="1198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s v="Douglas Lindsey"/>
    <x v="0"/>
    <x v="0"/>
    <n v="11"/>
    <x v="0"/>
    <n v="25"/>
    <n v="4.7"/>
    <x v="0"/>
    <x v="0"/>
    <x v="0"/>
    <n v="63596"/>
  </r>
  <r>
    <s v="Anthony Roberson"/>
    <x v="1"/>
    <x v="1"/>
    <n v="19"/>
    <x v="1"/>
    <n v="76"/>
    <n v="2.8"/>
    <x v="1"/>
    <x v="1"/>
    <x v="1"/>
    <n v="112540"/>
  </r>
  <r>
    <s v="Thomas Miller"/>
    <x v="2"/>
    <x v="0"/>
    <n v="8"/>
    <x v="2"/>
    <n v="10"/>
    <n v="2.4"/>
    <x v="1"/>
    <x v="0"/>
    <x v="2"/>
    <n v="66292"/>
  </r>
  <r>
    <s v="Joshua Lewis"/>
    <x v="3"/>
    <x v="1"/>
    <n v="1"/>
    <x v="3"/>
    <n v="4"/>
    <n v="1.4"/>
    <x v="0"/>
    <x v="2"/>
    <x v="3"/>
    <n v="38303"/>
  </r>
  <r>
    <s v="Stephanie Bailey"/>
    <x v="4"/>
    <x v="0"/>
    <n v="14"/>
    <x v="4"/>
    <n v="9"/>
    <n v="4.5"/>
    <x v="1"/>
    <x v="3"/>
    <x v="4"/>
    <n v="101133"/>
  </r>
  <r>
    <s v="Jonathan King"/>
    <x v="5"/>
    <x v="0"/>
    <n v="5"/>
    <x v="5"/>
    <n v="33"/>
    <n v="4.2"/>
    <x v="2"/>
    <x v="4"/>
    <x v="5"/>
    <n v="48740"/>
  </r>
  <r>
    <s v="Kyle Figueroa"/>
    <x v="6"/>
    <x v="1"/>
    <n v="13"/>
    <x v="6"/>
    <n v="39"/>
    <n v="2.2999999999999998"/>
    <x v="2"/>
    <x v="0"/>
    <x v="6"/>
    <n v="73502"/>
  </r>
  <r>
    <s v="Shannon Allen"/>
    <x v="7"/>
    <x v="1"/>
    <n v="4"/>
    <x v="7"/>
    <n v="68"/>
    <n v="2.8"/>
    <x v="3"/>
    <x v="2"/>
    <x v="5"/>
    <n v="39670"/>
  </r>
  <r>
    <s v="Daryl Noble"/>
    <x v="2"/>
    <x v="1"/>
    <n v="7"/>
    <x v="8"/>
    <n v="43"/>
    <n v="2.2999999999999998"/>
    <x v="0"/>
    <x v="4"/>
    <x v="7"/>
    <n v="49323"/>
  </r>
  <r>
    <s v="Tracy Figueroa"/>
    <x v="8"/>
    <x v="1"/>
    <n v="17"/>
    <x v="9"/>
    <n v="15"/>
    <n v="1.1000000000000001"/>
    <x v="3"/>
    <x v="3"/>
    <x v="8"/>
    <n v="92915"/>
  </r>
  <r>
    <s v="Eric Sanders"/>
    <x v="9"/>
    <x v="0"/>
    <n v="11"/>
    <x v="10"/>
    <n v="67"/>
    <n v="1.2"/>
    <x v="4"/>
    <x v="5"/>
    <x v="9"/>
    <n v="80721"/>
  </r>
  <r>
    <s v="Joshua Nelson"/>
    <x v="10"/>
    <x v="1"/>
    <n v="19"/>
    <x v="11"/>
    <n v="31"/>
    <n v="2.5"/>
    <x v="2"/>
    <x v="3"/>
    <x v="10"/>
    <n v="95072"/>
  </r>
  <r>
    <s v="Donald Davis"/>
    <x v="0"/>
    <x v="1"/>
    <n v="2"/>
    <x v="12"/>
    <n v="97"/>
    <n v="1.8"/>
    <x v="3"/>
    <x v="2"/>
    <x v="5"/>
    <n v="35169"/>
  </r>
  <r>
    <s v="Ms. Emily Dawson"/>
    <x v="11"/>
    <x v="1"/>
    <n v="14"/>
    <x v="10"/>
    <n v="20"/>
    <n v="3.1"/>
    <x v="0"/>
    <x v="0"/>
    <x v="6"/>
    <n v="70271"/>
  </r>
  <r>
    <s v="Angela Davis"/>
    <x v="12"/>
    <x v="0"/>
    <n v="18"/>
    <x v="13"/>
    <n v="8"/>
    <n v="1.8"/>
    <x v="2"/>
    <x v="5"/>
    <x v="6"/>
    <n v="89571"/>
  </r>
  <r>
    <s v="Melissa Galvan"/>
    <x v="13"/>
    <x v="0"/>
    <n v="17"/>
    <x v="4"/>
    <n v="53"/>
    <n v="1.8"/>
    <x v="2"/>
    <x v="1"/>
    <x v="9"/>
    <n v="118466"/>
  </r>
  <r>
    <s v="Erin Smith"/>
    <x v="14"/>
    <x v="0"/>
    <n v="15"/>
    <x v="14"/>
    <n v="37"/>
    <n v="3.7"/>
    <x v="0"/>
    <x v="3"/>
    <x v="9"/>
    <n v="105893"/>
  </r>
  <r>
    <s v="James Hernandez"/>
    <x v="15"/>
    <x v="1"/>
    <n v="13"/>
    <x v="14"/>
    <n v="36"/>
    <n v="3.9"/>
    <x v="0"/>
    <x v="3"/>
    <x v="11"/>
    <n v="92074"/>
  </r>
  <r>
    <s v="Amanda White"/>
    <x v="9"/>
    <x v="0"/>
    <n v="12"/>
    <x v="15"/>
    <n v="66"/>
    <n v="2.2000000000000002"/>
    <x v="1"/>
    <x v="3"/>
    <x v="4"/>
    <n v="107279"/>
  </r>
  <r>
    <s v="Michael Morton DDS"/>
    <x v="7"/>
    <x v="0"/>
    <n v="2"/>
    <x v="16"/>
    <n v="17"/>
    <n v="4.4000000000000004"/>
    <x v="2"/>
    <x v="2"/>
    <x v="5"/>
    <n v="37855"/>
  </r>
  <r>
    <s v="Michelle Moreno"/>
    <x v="0"/>
    <x v="0"/>
    <n v="10"/>
    <x v="17"/>
    <n v="73"/>
    <n v="2"/>
    <x v="4"/>
    <x v="4"/>
    <x v="7"/>
    <n v="52122"/>
  </r>
  <r>
    <s v="Shannon Wilson"/>
    <x v="3"/>
    <x v="1"/>
    <n v="4"/>
    <x v="18"/>
    <n v="66"/>
    <n v="2.4"/>
    <x v="2"/>
    <x v="4"/>
    <x v="6"/>
    <n v="50233"/>
  </r>
  <r>
    <s v="Chad Zamora"/>
    <x v="16"/>
    <x v="1"/>
    <n v="10"/>
    <x v="11"/>
    <n v="80"/>
    <n v="3.8"/>
    <x v="4"/>
    <x v="4"/>
    <x v="0"/>
    <n v="51316"/>
  </r>
  <r>
    <s v="Stephanie Rivera"/>
    <x v="0"/>
    <x v="1"/>
    <n v="3"/>
    <x v="19"/>
    <n v="26"/>
    <n v="1.2"/>
    <x v="0"/>
    <x v="4"/>
    <x v="5"/>
    <n v="56946"/>
  </r>
  <r>
    <s v="Tracy Briggs"/>
    <x v="13"/>
    <x v="0"/>
    <n v="22"/>
    <x v="20"/>
    <n v="68"/>
    <n v="4.7"/>
    <x v="1"/>
    <x v="1"/>
    <x v="12"/>
    <n v="100795"/>
  </r>
  <r>
    <s v="Kimberly Cooper"/>
    <x v="16"/>
    <x v="1"/>
    <n v="9"/>
    <x v="21"/>
    <n v="13"/>
    <n v="1.3"/>
    <x v="4"/>
    <x v="4"/>
    <x v="5"/>
    <n v="46910"/>
  </r>
  <r>
    <s v="Heather Mueller"/>
    <x v="17"/>
    <x v="1"/>
    <n v="11"/>
    <x v="22"/>
    <n v="52"/>
    <n v="2.8"/>
    <x v="4"/>
    <x v="5"/>
    <x v="13"/>
    <n v="87114"/>
  </r>
  <r>
    <s v="Susan Johnson"/>
    <x v="18"/>
    <x v="0"/>
    <n v="17"/>
    <x v="21"/>
    <n v="81"/>
    <n v="3.9"/>
    <x v="4"/>
    <x v="1"/>
    <x v="11"/>
    <n v="119895"/>
  </r>
  <r>
    <s v="Stephen Watson"/>
    <x v="6"/>
    <x v="0"/>
    <n v="17"/>
    <x v="23"/>
    <n v="69"/>
    <n v="1.2"/>
    <x v="2"/>
    <x v="5"/>
    <x v="10"/>
    <n v="90885"/>
  </r>
  <r>
    <s v="Amanda Brown"/>
    <x v="3"/>
    <x v="1"/>
    <n v="7"/>
    <x v="24"/>
    <n v="51"/>
    <n v="4.2"/>
    <x v="1"/>
    <x v="4"/>
    <x v="6"/>
    <n v="47188"/>
  </r>
  <r>
    <s v="Michelle Perez"/>
    <x v="12"/>
    <x v="0"/>
    <n v="5"/>
    <x v="25"/>
    <n v="94"/>
    <n v="4.9000000000000004"/>
    <x v="0"/>
    <x v="4"/>
    <x v="6"/>
    <n v="57478"/>
  </r>
  <r>
    <s v="Kim Larson"/>
    <x v="0"/>
    <x v="1"/>
    <n v="3"/>
    <x v="12"/>
    <n v="99"/>
    <n v="2.8"/>
    <x v="0"/>
    <x v="4"/>
    <x v="7"/>
    <n v="47322"/>
  </r>
  <r>
    <s v="Emily Palmer"/>
    <x v="3"/>
    <x v="0"/>
    <n v="10"/>
    <x v="26"/>
    <n v="100"/>
    <n v="1.5"/>
    <x v="1"/>
    <x v="4"/>
    <x v="5"/>
    <n v="59502"/>
  </r>
  <r>
    <s v="Steven Anderson"/>
    <x v="3"/>
    <x v="1"/>
    <n v="3"/>
    <x v="22"/>
    <n v="35"/>
    <n v="1.3"/>
    <x v="0"/>
    <x v="2"/>
    <x v="5"/>
    <n v="30509"/>
  </r>
  <r>
    <s v="Dennis Nash"/>
    <x v="19"/>
    <x v="1"/>
    <n v="13"/>
    <x v="27"/>
    <n v="37"/>
    <n v="1.4"/>
    <x v="2"/>
    <x v="3"/>
    <x v="14"/>
    <n v="93896"/>
  </r>
  <r>
    <s v="Robin Hurst"/>
    <x v="19"/>
    <x v="0"/>
    <n v="9"/>
    <x v="28"/>
    <n v="56"/>
    <n v="4.0999999999999996"/>
    <x v="0"/>
    <x v="0"/>
    <x v="7"/>
    <n v="71558"/>
  </r>
  <r>
    <s v="Samantha Williams"/>
    <x v="6"/>
    <x v="0"/>
    <n v="14"/>
    <x v="13"/>
    <n v="47"/>
    <n v="2.7"/>
    <x v="1"/>
    <x v="5"/>
    <x v="11"/>
    <n v="87041"/>
  </r>
  <r>
    <s v="Jesse Solis"/>
    <x v="20"/>
    <x v="1"/>
    <n v="19"/>
    <x v="4"/>
    <n v="72"/>
    <n v="4.7"/>
    <x v="1"/>
    <x v="1"/>
    <x v="14"/>
    <n v="108122"/>
  </r>
  <r>
    <s v="Carlos Bush"/>
    <x v="10"/>
    <x v="1"/>
    <n v="23"/>
    <x v="29"/>
    <n v="80"/>
    <n v="2.8"/>
    <x v="2"/>
    <x v="1"/>
    <x v="15"/>
    <n v="101041"/>
  </r>
  <r>
    <s v="Vicki Kim"/>
    <x v="21"/>
    <x v="1"/>
    <n v="11"/>
    <x v="17"/>
    <n v="17"/>
    <n v="1.3"/>
    <x v="1"/>
    <x v="5"/>
    <x v="16"/>
    <n v="90310"/>
  </r>
  <r>
    <s v="Karen Harmon"/>
    <x v="8"/>
    <x v="1"/>
    <n v="15"/>
    <x v="20"/>
    <n v="20"/>
    <n v="2.7"/>
    <x v="2"/>
    <x v="3"/>
    <x v="4"/>
    <n v="98912"/>
  </r>
  <r>
    <s v="Alexandra Wilson"/>
    <x v="0"/>
    <x v="0"/>
    <n v="11"/>
    <x v="30"/>
    <n v="15"/>
    <n v="4"/>
    <x v="4"/>
    <x v="0"/>
    <x v="17"/>
    <n v="64328"/>
  </r>
  <r>
    <s v="Stephanie Lawson"/>
    <x v="21"/>
    <x v="1"/>
    <n v="15"/>
    <x v="31"/>
    <n v="89"/>
    <n v="4.3"/>
    <x v="2"/>
    <x v="3"/>
    <x v="8"/>
    <n v="102592"/>
  </r>
  <r>
    <s v="Walter Barker"/>
    <x v="22"/>
    <x v="0"/>
    <n v="5"/>
    <x v="32"/>
    <n v="15"/>
    <n v="1.2"/>
    <x v="3"/>
    <x v="0"/>
    <x v="0"/>
    <n v="61891"/>
  </r>
  <r>
    <s v="Mallory Lawrence"/>
    <x v="0"/>
    <x v="0"/>
    <n v="5"/>
    <x v="33"/>
    <n v="48"/>
    <n v="1.7"/>
    <x v="4"/>
    <x v="0"/>
    <x v="17"/>
    <n v="65633"/>
  </r>
  <r>
    <s v="Jonathan Stanley"/>
    <x v="12"/>
    <x v="0"/>
    <n v="5"/>
    <x v="14"/>
    <n v="51"/>
    <n v="3"/>
    <x v="4"/>
    <x v="4"/>
    <x v="7"/>
    <n v="49778"/>
  </r>
  <r>
    <s v="Jamie Wells"/>
    <x v="0"/>
    <x v="0"/>
    <n v="5"/>
    <x v="34"/>
    <n v="75"/>
    <n v="1.5"/>
    <x v="2"/>
    <x v="4"/>
    <x v="6"/>
    <n v="51123"/>
  </r>
  <r>
    <s v="James Berg"/>
    <x v="23"/>
    <x v="1"/>
    <n v="14"/>
    <x v="35"/>
    <n v="59"/>
    <n v="4.5"/>
    <x v="0"/>
    <x v="0"/>
    <x v="7"/>
    <n v="70095"/>
  </r>
  <r>
    <s v="Elizabeth Bowen"/>
    <x v="6"/>
    <x v="1"/>
    <n v="7"/>
    <x v="36"/>
    <n v="17"/>
    <n v="4.7"/>
    <x v="2"/>
    <x v="0"/>
    <x v="7"/>
    <n v="73157"/>
  </r>
  <r>
    <s v="Cynthia Ochoa"/>
    <x v="13"/>
    <x v="1"/>
    <n v="16"/>
    <x v="4"/>
    <n v="71"/>
    <n v="2.2999999999999998"/>
    <x v="3"/>
    <x v="5"/>
    <x v="6"/>
    <n v="90439"/>
  </r>
  <r>
    <s v="Kristine Smith"/>
    <x v="7"/>
    <x v="0"/>
    <n v="3"/>
    <x v="21"/>
    <n v="85"/>
    <n v="2.7"/>
    <x v="1"/>
    <x v="2"/>
    <x v="0"/>
    <n v="33105"/>
  </r>
  <r>
    <s v="Walter Jones"/>
    <x v="10"/>
    <x v="0"/>
    <n v="11"/>
    <x v="18"/>
    <n v="38"/>
    <n v="3.2"/>
    <x v="4"/>
    <x v="3"/>
    <x v="9"/>
    <n v="107751"/>
  </r>
  <r>
    <s v="Brian Anderson"/>
    <x v="3"/>
    <x v="0"/>
    <n v="2"/>
    <x v="37"/>
    <n v="45"/>
    <n v="2.1"/>
    <x v="2"/>
    <x v="2"/>
    <x v="3"/>
    <n v="38878"/>
  </r>
  <r>
    <s v="Alexis Smith DDS"/>
    <x v="21"/>
    <x v="0"/>
    <n v="16"/>
    <x v="38"/>
    <n v="80"/>
    <n v="3.2"/>
    <x v="3"/>
    <x v="5"/>
    <x v="10"/>
    <n v="80976"/>
  </r>
  <r>
    <s v="Jessica Robinson"/>
    <x v="17"/>
    <x v="0"/>
    <n v="14"/>
    <x v="27"/>
    <n v="60"/>
    <n v="1.8"/>
    <x v="4"/>
    <x v="3"/>
    <x v="4"/>
    <n v="101100"/>
  </r>
  <r>
    <s v="Harold Nguyen"/>
    <x v="24"/>
    <x v="0"/>
    <n v="22"/>
    <x v="27"/>
    <n v="95"/>
    <n v="2.2000000000000002"/>
    <x v="4"/>
    <x v="1"/>
    <x v="18"/>
    <n v="116888"/>
  </r>
  <r>
    <s v="Marilyn Williams"/>
    <x v="0"/>
    <x v="0"/>
    <n v="8"/>
    <x v="39"/>
    <n v="53"/>
    <n v="2.8"/>
    <x v="2"/>
    <x v="4"/>
    <x v="7"/>
    <n v="54047"/>
  </r>
  <r>
    <s v="Victoria Townsend"/>
    <x v="2"/>
    <x v="0"/>
    <n v="13"/>
    <x v="40"/>
    <n v="27"/>
    <n v="3.4"/>
    <x v="3"/>
    <x v="5"/>
    <x v="8"/>
    <n v="80228"/>
  </r>
  <r>
    <s v="David Odom"/>
    <x v="25"/>
    <x v="1"/>
    <n v="20"/>
    <x v="6"/>
    <n v="61"/>
    <n v="3.1"/>
    <x v="3"/>
    <x v="3"/>
    <x v="19"/>
    <n v="95289"/>
  </r>
  <r>
    <s v="Melissa Nguyen"/>
    <x v="7"/>
    <x v="1"/>
    <n v="8"/>
    <x v="30"/>
    <n v="62"/>
    <n v="2"/>
    <x v="2"/>
    <x v="4"/>
    <x v="5"/>
    <n v="59877"/>
  </r>
  <r>
    <s v="Rachel Harris"/>
    <x v="2"/>
    <x v="0"/>
    <n v="8"/>
    <x v="41"/>
    <n v="88"/>
    <n v="1.9"/>
    <x v="1"/>
    <x v="5"/>
    <x v="20"/>
    <n v="88117"/>
  </r>
  <r>
    <s v="Lori Garcia"/>
    <x v="18"/>
    <x v="0"/>
    <n v="16"/>
    <x v="9"/>
    <n v="64"/>
    <n v="1.5"/>
    <x v="4"/>
    <x v="1"/>
    <x v="1"/>
    <n v="100719"/>
  </r>
  <r>
    <s v="Dr. Corey Orr"/>
    <x v="22"/>
    <x v="1"/>
    <n v="5"/>
    <x v="42"/>
    <n v="40"/>
    <n v="4.0999999999999996"/>
    <x v="1"/>
    <x v="0"/>
    <x v="0"/>
    <n v="70439"/>
  </r>
  <r>
    <s v="Janet Campbell"/>
    <x v="20"/>
    <x v="1"/>
    <n v="20"/>
    <x v="43"/>
    <n v="63"/>
    <n v="1.4"/>
    <x v="4"/>
    <x v="1"/>
    <x v="18"/>
    <n v="108449"/>
  </r>
  <r>
    <s v="Glen Johnson"/>
    <x v="10"/>
    <x v="0"/>
    <n v="12"/>
    <x v="44"/>
    <n v="83"/>
    <n v="3.9"/>
    <x v="3"/>
    <x v="3"/>
    <x v="10"/>
    <n v="100865"/>
  </r>
  <r>
    <s v="Brandon Vega"/>
    <x v="2"/>
    <x v="0"/>
    <n v="6"/>
    <x v="45"/>
    <n v="7"/>
    <n v="2"/>
    <x v="2"/>
    <x v="4"/>
    <x v="0"/>
    <n v="47255"/>
  </r>
  <r>
    <s v="Maria Short"/>
    <x v="5"/>
    <x v="1"/>
    <n v="4"/>
    <x v="46"/>
    <n v="56"/>
    <n v="2.1"/>
    <x v="2"/>
    <x v="2"/>
    <x v="5"/>
    <n v="35636"/>
  </r>
  <r>
    <s v="Alejandro Rice"/>
    <x v="15"/>
    <x v="1"/>
    <n v="16"/>
    <x v="47"/>
    <n v="38"/>
    <n v="3.9"/>
    <x v="2"/>
    <x v="5"/>
    <x v="21"/>
    <n v="81627"/>
  </r>
  <r>
    <s v="Debra Chen"/>
    <x v="15"/>
    <x v="0"/>
    <n v="17"/>
    <x v="20"/>
    <n v="18"/>
    <n v="3.6"/>
    <x v="2"/>
    <x v="3"/>
    <x v="8"/>
    <n v="108390"/>
  </r>
  <r>
    <s v="Dana Taylor"/>
    <x v="0"/>
    <x v="1"/>
    <n v="2"/>
    <x v="36"/>
    <n v="95"/>
    <n v="4"/>
    <x v="2"/>
    <x v="2"/>
    <x v="3"/>
    <n v="36842"/>
  </r>
  <r>
    <s v="Jordan Morales"/>
    <x v="9"/>
    <x v="0"/>
    <n v="16"/>
    <x v="48"/>
    <n v="63"/>
    <n v="3.1"/>
    <x v="0"/>
    <x v="5"/>
    <x v="2"/>
    <n v="92954"/>
  </r>
  <r>
    <s v="Gregory Wong"/>
    <x v="11"/>
    <x v="1"/>
    <n v="16"/>
    <x v="49"/>
    <n v="6"/>
    <n v="4.4000000000000004"/>
    <x v="0"/>
    <x v="3"/>
    <x v="10"/>
    <n v="92217"/>
  </r>
  <r>
    <s v="Thomas Baxter"/>
    <x v="0"/>
    <x v="0"/>
    <n v="9"/>
    <x v="50"/>
    <n v="79"/>
    <n v="1.5"/>
    <x v="4"/>
    <x v="4"/>
    <x v="7"/>
    <n v="49120"/>
  </r>
  <r>
    <s v="Amy Garcia"/>
    <x v="19"/>
    <x v="0"/>
    <n v="10"/>
    <x v="51"/>
    <n v="27"/>
    <n v="3.6"/>
    <x v="0"/>
    <x v="0"/>
    <x v="2"/>
    <n v="69347"/>
  </r>
  <r>
    <s v="Bradley Paul"/>
    <x v="3"/>
    <x v="1"/>
    <n v="5"/>
    <x v="52"/>
    <n v="3"/>
    <n v="1.5"/>
    <x v="3"/>
    <x v="4"/>
    <x v="7"/>
    <n v="46707"/>
  </r>
  <r>
    <s v="John Moore"/>
    <x v="9"/>
    <x v="0"/>
    <n v="20"/>
    <x v="53"/>
    <n v="45"/>
    <n v="3.9"/>
    <x v="1"/>
    <x v="3"/>
    <x v="4"/>
    <n v="107062"/>
  </r>
  <r>
    <s v="Allison Smith"/>
    <x v="26"/>
    <x v="0"/>
    <n v="0"/>
    <x v="30"/>
    <n v="60"/>
    <n v="2.4"/>
    <x v="3"/>
    <x v="2"/>
    <x v="3"/>
    <n v="31230"/>
  </r>
  <r>
    <s v="Melissa Dunn"/>
    <x v="12"/>
    <x v="0"/>
    <n v="9"/>
    <x v="27"/>
    <n v="50"/>
    <n v="3.7"/>
    <x v="4"/>
    <x v="5"/>
    <x v="6"/>
    <n v="94110"/>
  </r>
  <r>
    <s v="Daniel Mata"/>
    <x v="27"/>
    <x v="0"/>
    <n v="25"/>
    <x v="28"/>
    <n v="1"/>
    <n v="3.8"/>
    <x v="1"/>
    <x v="1"/>
    <x v="10"/>
    <n v="119208"/>
  </r>
  <r>
    <s v="Paula Gamble"/>
    <x v="2"/>
    <x v="1"/>
    <n v="9"/>
    <x v="3"/>
    <n v="67"/>
    <n v="3.6"/>
    <x v="0"/>
    <x v="5"/>
    <x v="11"/>
    <n v="82101"/>
  </r>
  <r>
    <s v="Sarah Fernandez"/>
    <x v="28"/>
    <x v="1"/>
    <n v="23"/>
    <x v="23"/>
    <n v="8"/>
    <n v="1.9"/>
    <x v="3"/>
    <x v="1"/>
    <x v="14"/>
    <n v="115901"/>
  </r>
  <r>
    <s v="Kathryn Scott"/>
    <x v="10"/>
    <x v="1"/>
    <n v="8"/>
    <x v="54"/>
    <n v="87"/>
    <n v="4.3"/>
    <x v="2"/>
    <x v="5"/>
    <x v="19"/>
    <n v="80567"/>
  </r>
  <r>
    <s v="Steven Schroeder"/>
    <x v="22"/>
    <x v="0"/>
    <n v="15"/>
    <x v="36"/>
    <n v="10"/>
    <n v="2"/>
    <x v="1"/>
    <x v="0"/>
    <x v="7"/>
    <n v="68523"/>
  </r>
  <r>
    <s v="Calvin Mullen"/>
    <x v="29"/>
    <x v="1"/>
    <n v="24"/>
    <x v="19"/>
    <n v="87"/>
    <n v="3.1"/>
    <x v="0"/>
    <x v="1"/>
    <x v="22"/>
    <n v="107320"/>
  </r>
  <r>
    <s v="Mark Wilson"/>
    <x v="28"/>
    <x v="1"/>
    <n v="23"/>
    <x v="55"/>
    <n v="94"/>
    <n v="3.7"/>
    <x v="2"/>
    <x v="1"/>
    <x v="1"/>
    <n v="111381"/>
  </r>
  <r>
    <s v="Debbie Torres"/>
    <x v="1"/>
    <x v="1"/>
    <n v="20"/>
    <x v="56"/>
    <n v="85"/>
    <n v="1.9"/>
    <x v="4"/>
    <x v="1"/>
    <x v="16"/>
    <n v="103172"/>
  </r>
  <r>
    <s v="Carrie Lowe DVM"/>
    <x v="7"/>
    <x v="1"/>
    <n v="5"/>
    <x v="11"/>
    <n v="50"/>
    <n v="3.5"/>
    <x v="3"/>
    <x v="2"/>
    <x v="0"/>
    <n v="39138"/>
  </r>
  <r>
    <s v="Jerry Mccoy"/>
    <x v="21"/>
    <x v="0"/>
    <n v="17"/>
    <x v="57"/>
    <n v="0"/>
    <n v="2.1"/>
    <x v="1"/>
    <x v="5"/>
    <x v="20"/>
    <n v="93702"/>
  </r>
  <r>
    <s v="Ashley Bradshaw"/>
    <x v="12"/>
    <x v="0"/>
    <n v="6"/>
    <x v="11"/>
    <n v="46"/>
    <n v="1.7"/>
    <x v="4"/>
    <x v="0"/>
    <x v="6"/>
    <n v="71589"/>
  </r>
  <r>
    <s v="Molly Jones"/>
    <x v="22"/>
    <x v="1"/>
    <n v="17"/>
    <x v="36"/>
    <n v="5"/>
    <n v="4.2"/>
    <x v="0"/>
    <x v="5"/>
    <x v="10"/>
    <n v="83554"/>
  </r>
  <r>
    <s v="Daniel Young"/>
    <x v="3"/>
    <x v="1"/>
    <n v="1"/>
    <x v="3"/>
    <n v="14"/>
    <n v="3.2"/>
    <x v="2"/>
    <x v="2"/>
    <x v="0"/>
    <n v="32903"/>
  </r>
  <r>
    <s v="Sarah Levy"/>
    <x v="16"/>
    <x v="0"/>
    <n v="5"/>
    <x v="58"/>
    <n v="79"/>
    <n v="2.2999999999999998"/>
    <x v="3"/>
    <x v="0"/>
    <x v="0"/>
    <n v="71365"/>
  </r>
  <r>
    <s v="Susan Foley"/>
    <x v="5"/>
    <x v="0"/>
    <n v="0"/>
    <x v="39"/>
    <n v="0"/>
    <n v="3.3"/>
    <x v="4"/>
    <x v="2"/>
    <x v="0"/>
    <n v="33770"/>
  </r>
  <r>
    <s v="Gail Taylor"/>
    <x v="8"/>
    <x v="0"/>
    <n v="9"/>
    <x v="3"/>
    <n v="34"/>
    <n v="1.1000000000000001"/>
    <x v="3"/>
    <x v="5"/>
    <x v="14"/>
    <n v="86537"/>
  </r>
  <r>
    <s v="Colleen Jacobson"/>
    <x v="2"/>
    <x v="1"/>
    <n v="9"/>
    <x v="59"/>
    <n v="81"/>
    <n v="1.5"/>
    <x v="1"/>
    <x v="0"/>
    <x v="6"/>
    <n v="63299"/>
  </r>
  <r>
    <s v="Patricia Campos"/>
    <x v="16"/>
    <x v="1"/>
    <n v="3"/>
    <x v="20"/>
    <n v="89"/>
    <n v="2.6"/>
    <x v="3"/>
    <x v="4"/>
    <x v="6"/>
    <n v="54974"/>
  </r>
  <r>
    <s v="Amy Carr"/>
    <x v="27"/>
    <x v="1"/>
    <n v="24"/>
    <x v="41"/>
    <n v="37"/>
    <n v="4.9000000000000004"/>
    <x v="4"/>
    <x v="1"/>
    <x v="13"/>
    <n v="114384"/>
  </r>
  <r>
    <s v="Renee Jones"/>
    <x v="30"/>
    <x v="1"/>
    <n v="16"/>
    <x v="60"/>
    <n v="93"/>
    <n v="3"/>
    <x v="1"/>
    <x v="3"/>
    <x v="10"/>
    <n v="101416"/>
  </r>
  <r>
    <s v="Cheryl Spencer"/>
    <x v="12"/>
    <x v="0"/>
    <n v="7"/>
    <x v="58"/>
    <n v="29"/>
    <n v="1.3"/>
    <x v="4"/>
    <x v="0"/>
    <x v="6"/>
    <n v="62588"/>
  </r>
  <r>
    <s v="Mary Barber"/>
    <x v="8"/>
    <x v="1"/>
    <n v="24"/>
    <x v="40"/>
    <n v="18"/>
    <n v="4.0999999999999996"/>
    <x v="4"/>
    <x v="1"/>
    <x v="17"/>
    <n v="108820"/>
  </r>
  <r>
    <s v="Christy Snyder"/>
    <x v="2"/>
    <x v="0"/>
    <n v="19"/>
    <x v="10"/>
    <n v="96"/>
    <n v="4.0999999999999996"/>
    <x v="4"/>
    <x v="3"/>
    <x v="4"/>
    <n v="101420"/>
  </r>
  <r>
    <s v="Tracy Morris"/>
    <x v="2"/>
    <x v="0"/>
    <n v="10"/>
    <x v="9"/>
    <n v="73"/>
    <n v="4.0999999999999996"/>
    <x v="0"/>
    <x v="4"/>
    <x v="6"/>
    <n v="53966"/>
  </r>
  <r>
    <s v="Brittany Jackson"/>
    <x v="9"/>
    <x v="1"/>
    <n v="13"/>
    <x v="51"/>
    <n v="36"/>
    <n v="3.3"/>
    <x v="0"/>
    <x v="3"/>
    <x v="16"/>
    <n v="96579"/>
  </r>
  <r>
    <s v="Ronald Flores"/>
    <x v="31"/>
    <x v="0"/>
    <n v="19"/>
    <x v="61"/>
    <n v="24"/>
    <n v="3.8"/>
    <x v="2"/>
    <x v="1"/>
    <x v="8"/>
    <n v="107080"/>
  </r>
  <r>
    <s v="William Taylor"/>
    <x v="23"/>
    <x v="0"/>
    <n v="9"/>
    <x v="62"/>
    <n v="13"/>
    <n v="1.9"/>
    <x v="2"/>
    <x v="0"/>
    <x v="6"/>
    <n v="67630"/>
  </r>
  <r>
    <s v="Jeffrey Hodges"/>
    <x v="24"/>
    <x v="1"/>
    <n v="10"/>
    <x v="28"/>
    <n v="55"/>
    <n v="3.9"/>
    <x v="2"/>
    <x v="5"/>
    <x v="2"/>
    <n v="93569"/>
  </r>
  <r>
    <s v="Michael Raymond"/>
    <x v="17"/>
    <x v="1"/>
    <n v="12"/>
    <x v="40"/>
    <n v="58"/>
    <n v="4.3"/>
    <x v="1"/>
    <x v="3"/>
    <x v="9"/>
    <n v="100280"/>
  </r>
  <r>
    <s v="Patrick Green"/>
    <x v="21"/>
    <x v="1"/>
    <n v="24"/>
    <x v="63"/>
    <n v="91"/>
    <n v="4"/>
    <x v="0"/>
    <x v="1"/>
    <x v="9"/>
    <n v="104209"/>
  </r>
  <r>
    <s v="Jennifer Gilbert"/>
    <x v="0"/>
    <x v="0"/>
    <n v="1"/>
    <x v="64"/>
    <n v="42"/>
    <n v="2.4"/>
    <x v="2"/>
    <x v="2"/>
    <x v="5"/>
    <n v="34535"/>
  </r>
  <r>
    <s v="Justin Williams"/>
    <x v="0"/>
    <x v="1"/>
    <n v="4"/>
    <x v="47"/>
    <n v="49"/>
    <n v="3.4"/>
    <x v="2"/>
    <x v="4"/>
    <x v="6"/>
    <n v="54193"/>
  </r>
  <r>
    <s v="Kevin Welch"/>
    <x v="30"/>
    <x v="0"/>
    <n v="17"/>
    <x v="65"/>
    <n v="21"/>
    <n v="3.5"/>
    <x v="4"/>
    <x v="1"/>
    <x v="23"/>
    <n v="100014"/>
  </r>
  <r>
    <s v="Jackie Holden"/>
    <x v="16"/>
    <x v="1"/>
    <n v="5"/>
    <x v="16"/>
    <n v="42"/>
    <n v="4.5999999999999996"/>
    <x v="4"/>
    <x v="4"/>
    <x v="0"/>
    <n v="46364"/>
  </r>
  <r>
    <s v="Brian Thomas"/>
    <x v="2"/>
    <x v="0"/>
    <n v="9"/>
    <x v="3"/>
    <n v="53"/>
    <n v="1.4"/>
    <x v="4"/>
    <x v="0"/>
    <x v="7"/>
    <n v="70818"/>
  </r>
  <r>
    <s v="Danielle Rodriguez"/>
    <x v="5"/>
    <x v="0"/>
    <n v="3"/>
    <x v="25"/>
    <n v="82"/>
    <n v="4.3"/>
    <x v="2"/>
    <x v="2"/>
    <x v="5"/>
    <n v="35375"/>
  </r>
  <r>
    <s v="Kathleen May"/>
    <x v="32"/>
    <x v="1"/>
    <n v="19"/>
    <x v="6"/>
    <n v="87"/>
    <n v="3.1"/>
    <x v="2"/>
    <x v="1"/>
    <x v="18"/>
    <n v="110104"/>
  </r>
  <r>
    <s v="Robert Ward"/>
    <x v="13"/>
    <x v="0"/>
    <n v="10"/>
    <x v="61"/>
    <n v="55"/>
    <n v="2.4"/>
    <x v="3"/>
    <x v="5"/>
    <x v="6"/>
    <n v="94290"/>
  </r>
  <r>
    <s v="Samantha Baldwin"/>
    <x v="12"/>
    <x v="0"/>
    <n v="6"/>
    <x v="21"/>
    <n v="18"/>
    <n v="2.8"/>
    <x v="0"/>
    <x v="4"/>
    <x v="5"/>
    <n v="56573"/>
  </r>
  <r>
    <s v="Michael Moore"/>
    <x v="33"/>
    <x v="1"/>
    <n v="13"/>
    <x v="28"/>
    <n v="57"/>
    <n v="1.1000000000000001"/>
    <x v="3"/>
    <x v="3"/>
    <x v="4"/>
    <n v="100592"/>
  </r>
  <r>
    <s v="Mr. Brandon Weber"/>
    <x v="23"/>
    <x v="1"/>
    <n v="6"/>
    <x v="27"/>
    <n v="90"/>
    <n v="1.9"/>
    <x v="1"/>
    <x v="0"/>
    <x v="2"/>
    <n v="60575"/>
  </r>
  <r>
    <s v="Adrian Walker"/>
    <x v="28"/>
    <x v="1"/>
    <n v="17"/>
    <x v="38"/>
    <n v="18"/>
    <n v="3.6"/>
    <x v="4"/>
    <x v="1"/>
    <x v="24"/>
    <n v="102771"/>
  </r>
  <r>
    <s v="Michael Rodriguez"/>
    <x v="3"/>
    <x v="1"/>
    <n v="5"/>
    <x v="66"/>
    <n v="67"/>
    <n v="3.6"/>
    <x v="3"/>
    <x v="2"/>
    <x v="3"/>
    <n v="30231"/>
  </r>
  <r>
    <s v="Johnathan Williams"/>
    <x v="21"/>
    <x v="1"/>
    <n v="21"/>
    <x v="30"/>
    <n v="40"/>
    <n v="3"/>
    <x v="4"/>
    <x v="1"/>
    <x v="18"/>
    <n v="109581"/>
  </r>
  <r>
    <s v="Nicholas Johnson"/>
    <x v="3"/>
    <x v="0"/>
    <n v="1"/>
    <x v="42"/>
    <n v="16"/>
    <n v="4.8"/>
    <x v="0"/>
    <x v="2"/>
    <x v="3"/>
    <n v="31878"/>
  </r>
  <r>
    <s v="Jeffery Fields"/>
    <x v="22"/>
    <x v="0"/>
    <n v="8"/>
    <x v="67"/>
    <n v="26"/>
    <n v="2.9"/>
    <x v="2"/>
    <x v="0"/>
    <x v="6"/>
    <n v="62727"/>
  </r>
  <r>
    <s v="Dawn Martin"/>
    <x v="19"/>
    <x v="1"/>
    <n v="17"/>
    <x v="32"/>
    <n v="23"/>
    <n v="2.2999999999999998"/>
    <x v="0"/>
    <x v="5"/>
    <x v="10"/>
    <n v="91663"/>
  </r>
  <r>
    <s v="Jill Anderson"/>
    <x v="15"/>
    <x v="1"/>
    <n v="8"/>
    <x v="68"/>
    <n v="56"/>
    <n v="4.4000000000000004"/>
    <x v="1"/>
    <x v="5"/>
    <x v="4"/>
    <n v="84510"/>
  </r>
  <r>
    <s v="Alicia Butler"/>
    <x v="22"/>
    <x v="1"/>
    <n v="10"/>
    <x v="29"/>
    <n v="44"/>
    <n v="2"/>
    <x v="4"/>
    <x v="0"/>
    <x v="2"/>
    <n v="63299"/>
  </r>
  <r>
    <s v="Samantha Allen"/>
    <x v="16"/>
    <x v="1"/>
    <n v="10"/>
    <x v="13"/>
    <n v="49"/>
    <n v="3.4"/>
    <x v="0"/>
    <x v="4"/>
    <x v="7"/>
    <n v="53400"/>
  </r>
  <r>
    <s v="Geoffrey Kelley"/>
    <x v="6"/>
    <x v="0"/>
    <n v="15"/>
    <x v="69"/>
    <n v="54"/>
    <n v="3.8"/>
    <x v="4"/>
    <x v="0"/>
    <x v="17"/>
    <n v="69087"/>
  </r>
  <r>
    <s v="James Lee"/>
    <x v="6"/>
    <x v="1"/>
    <n v="15"/>
    <x v="57"/>
    <n v="62"/>
    <n v="4.3"/>
    <x v="3"/>
    <x v="5"/>
    <x v="21"/>
    <n v="85674"/>
  </r>
  <r>
    <s v="Michael Perez"/>
    <x v="3"/>
    <x v="0"/>
    <n v="5"/>
    <x v="0"/>
    <n v="49"/>
    <n v="4.0999999999999996"/>
    <x v="1"/>
    <x v="2"/>
    <x v="3"/>
    <n v="37357"/>
  </r>
  <r>
    <s v="John Elliott"/>
    <x v="7"/>
    <x v="1"/>
    <n v="1"/>
    <x v="70"/>
    <n v="93"/>
    <n v="2.5"/>
    <x v="2"/>
    <x v="2"/>
    <x v="3"/>
    <n v="31456"/>
  </r>
  <r>
    <s v="Stacy Wilson"/>
    <x v="29"/>
    <x v="1"/>
    <n v="14"/>
    <x v="30"/>
    <n v="28"/>
    <n v="1.2"/>
    <x v="4"/>
    <x v="3"/>
    <x v="14"/>
    <n v="103586"/>
  </r>
  <r>
    <s v="Patrick Manning"/>
    <x v="27"/>
    <x v="0"/>
    <n v="16"/>
    <x v="71"/>
    <n v="25"/>
    <n v="1.2"/>
    <x v="3"/>
    <x v="1"/>
    <x v="23"/>
    <n v="116473"/>
  </r>
  <r>
    <s v="Denise Singleton"/>
    <x v="3"/>
    <x v="1"/>
    <n v="5"/>
    <x v="3"/>
    <n v="56"/>
    <n v="3.9"/>
    <x v="3"/>
    <x v="2"/>
    <x v="3"/>
    <n v="38714"/>
  </r>
  <r>
    <s v="Alyssa Montoya"/>
    <x v="6"/>
    <x v="1"/>
    <n v="14"/>
    <x v="1"/>
    <n v="26"/>
    <n v="4.8"/>
    <x v="2"/>
    <x v="0"/>
    <x v="6"/>
    <n v="73623"/>
  </r>
  <r>
    <s v="Rhonda Skinner"/>
    <x v="30"/>
    <x v="0"/>
    <n v="14"/>
    <x v="15"/>
    <n v="75"/>
    <n v="2.4"/>
    <x v="0"/>
    <x v="3"/>
    <x v="12"/>
    <n v="103407"/>
  </r>
  <r>
    <s v="Timothy Avery"/>
    <x v="0"/>
    <x v="0"/>
    <n v="4"/>
    <x v="51"/>
    <n v="90"/>
    <n v="2.8"/>
    <x v="1"/>
    <x v="2"/>
    <x v="5"/>
    <n v="32010"/>
  </r>
  <r>
    <s v="Angela Carpenter"/>
    <x v="17"/>
    <x v="1"/>
    <n v="18"/>
    <x v="31"/>
    <n v="6"/>
    <n v="3.9"/>
    <x v="3"/>
    <x v="1"/>
    <x v="9"/>
    <n v="102633"/>
  </r>
  <r>
    <s v="Andrew Johnson"/>
    <x v="12"/>
    <x v="0"/>
    <n v="5"/>
    <x v="72"/>
    <n v="49"/>
    <n v="3.6"/>
    <x v="4"/>
    <x v="0"/>
    <x v="7"/>
    <n v="69725"/>
  </r>
  <r>
    <s v="Jessica Tate"/>
    <x v="33"/>
    <x v="0"/>
    <n v="17"/>
    <x v="73"/>
    <n v="4"/>
    <n v="2"/>
    <x v="3"/>
    <x v="1"/>
    <x v="17"/>
    <n v="115170"/>
  </r>
  <r>
    <s v="Matthew Martin"/>
    <x v="21"/>
    <x v="0"/>
    <n v="18"/>
    <x v="20"/>
    <n v="29"/>
    <n v="3.7"/>
    <x v="2"/>
    <x v="1"/>
    <x v="13"/>
    <n v="110621"/>
  </r>
  <r>
    <s v="Timothy Johnson"/>
    <x v="29"/>
    <x v="0"/>
    <n v="24"/>
    <x v="10"/>
    <n v="81"/>
    <n v="2.2000000000000002"/>
    <x v="3"/>
    <x v="1"/>
    <x v="12"/>
    <n v="105706"/>
  </r>
  <r>
    <s v="James Reese"/>
    <x v="18"/>
    <x v="0"/>
    <n v="15"/>
    <x v="74"/>
    <n v="10"/>
    <n v="2.4"/>
    <x v="0"/>
    <x v="0"/>
    <x v="0"/>
    <n v="64858"/>
  </r>
  <r>
    <s v="Katrina Williams"/>
    <x v="27"/>
    <x v="0"/>
    <n v="15"/>
    <x v="62"/>
    <n v="23"/>
    <n v="3.2"/>
    <x v="1"/>
    <x v="1"/>
    <x v="19"/>
    <n v="107898"/>
  </r>
  <r>
    <s v="Jasmine Payne"/>
    <x v="23"/>
    <x v="1"/>
    <n v="16"/>
    <x v="40"/>
    <n v="46"/>
    <n v="3.9"/>
    <x v="4"/>
    <x v="3"/>
    <x v="18"/>
    <n v="104318"/>
  </r>
  <r>
    <s v="Mrs. Heidi Villa"/>
    <x v="7"/>
    <x v="0"/>
    <n v="1"/>
    <x v="66"/>
    <n v="7"/>
    <n v="1.6"/>
    <x v="0"/>
    <x v="2"/>
    <x v="3"/>
    <n v="34697"/>
  </r>
  <r>
    <s v="Patricia Collins"/>
    <x v="9"/>
    <x v="0"/>
    <n v="10"/>
    <x v="33"/>
    <n v="95"/>
    <n v="1.1000000000000001"/>
    <x v="3"/>
    <x v="5"/>
    <x v="8"/>
    <n v="80513"/>
  </r>
  <r>
    <s v="Cesar Davis"/>
    <x v="2"/>
    <x v="1"/>
    <n v="9"/>
    <x v="53"/>
    <n v="81"/>
    <n v="3.5"/>
    <x v="0"/>
    <x v="4"/>
    <x v="5"/>
    <n v="45375"/>
  </r>
  <r>
    <s v="Brett Butler"/>
    <x v="5"/>
    <x v="1"/>
    <n v="10"/>
    <x v="21"/>
    <n v="86"/>
    <n v="1.1000000000000001"/>
    <x v="4"/>
    <x v="4"/>
    <x v="0"/>
    <n v="58688"/>
  </r>
  <r>
    <s v="Cristina Garcia"/>
    <x v="18"/>
    <x v="1"/>
    <n v="15"/>
    <x v="27"/>
    <n v="22"/>
    <n v="1.2"/>
    <x v="1"/>
    <x v="1"/>
    <x v="13"/>
    <n v="100269"/>
  </r>
  <r>
    <s v="Joshua White"/>
    <x v="22"/>
    <x v="1"/>
    <n v="13"/>
    <x v="22"/>
    <n v="29"/>
    <n v="1.9"/>
    <x v="3"/>
    <x v="0"/>
    <x v="0"/>
    <n v="70460"/>
  </r>
  <r>
    <s v="Bethany Castro"/>
    <x v="3"/>
    <x v="0"/>
    <n v="2"/>
    <x v="57"/>
    <n v="78"/>
    <n v="3.6"/>
    <x v="3"/>
    <x v="2"/>
    <x v="0"/>
    <n v="34412"/>
  </r>
  <r>
    <s v="Mary Singh"/>
    <x v="23"/>
    <x v="1"/>
    <n v="11"/>
    <x v="0"/>
    <n v="38"/>
    <n v="1.3"/>
    <x v="0"/>
    <x v="5"/>
    <x v="18"/>
    <n v="81248"/>
  </r>
  <r>
    <s v="Scott Johnson"/>
    <x v="16"/>
    <x v="0"/>
    <n v="4"/>
    <x v="75"/>
    <n v="78"/>
    <n v="1.2"/>
    <x v="1"/>
    <x v="4"/>
    <x v="6"/>
    <n v="59268"/>
  </r>
  <r>
    <s v="Matthew Moran"/>
    <x v="7"/>
    <x v="1"/>
    <n v="9"/>
    <x v="74"/>
    <n v="11"/>
    <n v="4.9000000000000004"/>
    <x v="0"/>
    <x v="4"/>
    <x v="5"/>
    <n v="55833"/>
  </r>
  <r>
    <s v="Susan Hill"/>
    <x v="7"/>
    <x v="0"/>
    <n v="2"/>
    <x v="22"/>
    <n v="90"/>
    <n v="2.7"/>
    <x v="0"/>
    <x v="2"/>
    <x v="0"/>
    <n v="35130"/>
  </r>
  <r>
    <s v="Sherry Werner"/>
    <x v="7"/>
    <x v="1"/>
    <n v="5"/>
    <x v="76"/>
    <n v="65"/>
    <n v="4.5999999999999996"/>
    <x v="2"/>
    <x v="2"/>
    <x v="5"/>
    <n v="35192"/>
  </r>
  <r>
    <s v="Jon Hays"/>
    <x v="31"/>
    <x v="0"/>
    <n v="22"/>
    <x v="58"/>
    <n v="96"/>
    <n v="1.9"/>
    <x v="2"/>
    <x v="1"/>
    <x v="11"/>
    <n v="117951"/>
  </r>
  <r>
    <s v="Kelly Bryant"/>
    <x v="13"/>
    <x v="1"/>
    <n v="18"/>
    <x v="32"/>
    <n v="36"/>
    <n v="2.7"/>
    <x v="0"/>
    <x v="1"/>
    <x v="4"/>
    <n v="109418"/>
  </r>
  <r>
    <s v="Ryan Avila"/>
    <x v="8"/>
    <x v="0"/>
    <n v="18"/>
    <x v="71"/>
    <n v="98"/>
    <n v="2.4"/>
    <x v="2"/>
    <x v="5"/>
    <x v="20"/>
    <n v="80793"/>
  </r>
  <r>
    <s v="Jenny Riley"/>
    <x v="3"/>
    <x v="1"/>
    <n v="5"/>
    <x v="62"/>
    <n v="45"/>
    <n v="1.7"/>
    <x v="4"/>
    <x v="2"/>
    <x v="3"/>
    <n v="34076"/>
  </r>
  <r>
    <s v="Elizabeth Williams"/>
    <x v="12"/>
    <x v="0"/>
    <n v="9"/>
    <x v="58"/>
    <n v="52"/>
    <n v="2.2999999999999998"/>
    <x v="2"/>
    <x v="0"/>
    <x v="0"/>
    <n v="73916"/>
  </r>
  <r>
    <s v="Michael Oneal"/>
    <x v="18"/>
    <x v="0"/>
    <n v="25"/>
    <x v="77"/>
    <n v="58"/>
    <n v="4.9000000000000004"/>
    <x v="1"/>
    <x v="1"/>
    <x v="15"/>
    <n v="116928"/>
  </r>
  <r>
    <s v="Daniel Lopez"/>
    <x v="7"/>
    <x v="0"/>
    <n v="5"/>
    <x v="29"/>
    <n v="6"/>
    <n v="4"/>
    <x v="2"/>
    <x v="4"/>
    <x v="6"/>
    <n v="47294"/>
  </r>
  <r>
    <s v="William Thomas"/>
    <x v="22"/>
    <x v="1"/>
    <n v="9"/>
    <x v="69"/>
    <n v="80"/>
    <n v="2.5"/>
    <x v="1"/>
    <x v="5"/>
    <x v="16"/>
    <n v="84252"/>
  </r>
  <r>
    <s v="Anthony Barton"/>
    <x v="31"/>
    <x v="0"/>
    <n v="20"/>
    <x v="60"/>
    <n v="89"/>
    <n v="2.6"/>
    <x v="0"/>
    <x v="1"/>
    <x v="1"/>
    <n v="119567"/>
  </r>
  <r>
    <s v="William Reed"/>
    <x v="13"/>
    <x v="0"/>
    <n v="22"/>
    <x v="34"/>
    <n v="66"/>
    <n v="2.1"/>
    <x v="1"/>
    <x v="1"/>
    <x v="19"/>
    <n v="101837"/>
  </r>
  <r>
    <s v="Yvette Hughes"/>
    <x v="12"/>
    <x v="1"/>
    <n v="9"/>
    <x v="53"/>
    <n v="85"/>
    <n v="3.1"/>
    <x v="2"/>
    <x v="0"/>
    <x v="2"/>
    <n v="72877"/>
  </r>
  <r>
    <s v="Leslie Wallace"/>
    <x v="22"/>
    <x v="1"/>
    <n v="10"/>
    <x v="38"/>
    <n v="83"/>
    <n v="3.9"/>
    <x v="3"/>
    <x v="0"/>
    <x v="6"/>
    <n v="66367"/>
  </r>
  <r>
    <s v="Alexis Hickman"/>
    <x v="25"/>
    <x v="1"/>
    <n v="23"/>
    <x v="66"/>
    <n v="70"/>
    <n v="3.7"/>
    <x v="0"/>
    <x v="1"/>
    <x v="14"/>
    <n v="113716"/>
  </r>
  <r>
    <s v="Mrs. Laura Gonzalez"/>
    <x v="0"/>
    <x v="0"/>
    <n v="4"/>
    <x v="24"/>
    <n v="94"/>
    <n v="2.9"/>
    <x v="0"/>
    <x v="2"/>
    <x v="5"/>
    <n v="34601"/>
  </r>
  <r>
    <s v="Joshua Fowler"/>
    <x v="20"/>
    <x v="0"/>
    <n v="19"/>
    <x v="5"/>
    <n v="55"/>
    <n v="1.2"/>
    <x v="0"/>
    <x v="1"/>
    <x v="9"/>
    <n v="119085"/>
  </r>
  <r>
    <s v="Shannon Gray"/>
    <x v="15"/>
    <x v="0"/>
    <n v="13"/>
    <x v="78"/>
    <n v="74"/>
    <n v="4.7"/>
    <x v="0"/>
    <x v="3"/>
    <x v="17"/>
    <n v="97387"/>
  </r>
  <r>
    <s v="Vincent Jones"/>
    <x v="8"/>
    <x v="0"/>
    <n v="12"/>
    <x v="17"/>
    <n v="58"/>
    <n v="2.6"/>
    <x v="1"/>
    <x v="5"/>
    <x v="20"/>
    <n v="84152"/>
  </r>
  <r>
    <s v="Cindy West"/>
    <x v="5"/>
    <x v="0"/>
    <n v="10"/>
    <x v="77"/>
    <n v="62"/>
    <n v="2.6"/>
    <x v="4"/>
    <x v="4"/>
    <x v="7"/>
    <n v="50124"/>
  </r>
  <r>
    <s v="Autumn Taylor"/>
    <x v="19"/>
    <x v="0"/>
    <n v="11"/>
    <x v="78"/>
    <n v="32"/>
    <n v="1"/>
    <x v="0"/>
    <x v="0"/>
    <x v="7"/>
    <n v="74918"/>
  </r>
  <r>
    <s v="Patricia Ortega"/>
    <x v="33"/>
    <x v="1"/>
    <n v="16"/>
    <x v="70"/>
    <n v="90"/>
    <n v="1.6"/>
    <x v="2"/>
    <x v="1"/>
    <x v="19"/>
    <n v="117458"/>
  </r>
  <r>
    <s v="Andrew Dalton"/>
    <x v="34"/>
    <x v="1"/>
    <n v="17"/>
    <x v="67"/>
    <n v="60"/>
    <n v="4.5"/>
    <x v="4"/>
    <x v="1"/>
    <x v="20"/>
    <n v="116039"/>
  </r>
  <r>
    <s v="Michael Riley"/>
    <x v="26"/>
    <x v="1"/>
    <n v="3"/>
    <x v="62"/>
    <n v="27"/>
    <n v="3.1"/>
    <x v="3"/>
    <x v="2"/>
    <x v="0"/>
    <n v="37353"/>
  </r>
  <r>
    <s v="Kara Garcia"/>
    <x v="0"/>
    <x v="0"/>
    <n v="6"/>
    <x v="55"/>
    <n v="43"/>
    <n v="3.9"/>
    <x v="4"/>
    <x v="0"/>
    <x v="7"/>
    <n v="71604"/>
  </r>
  <r>
    <s v="Carrie Smith"/>
    <x v="18"/>
    <x v="0"/>
    <n v="19"/>
    <x v="12"/>
    <n v="34"/>
    <n v="1.6"/>
    <x v="2"/>
    <x v="3"/>
    <x v="13"/>
    <n v="94026"/>
  </r>
  <r>
    <s v="Dr. Shane Lewis"/>
    <x v="22"/>
    <x v="1"/>
    <n v="18"/>
    <x v="79"/>
    <n v="5"/>
    <n v="2.2999999999999998"/>
    <x v="2"/>
    <x v="5"/>
    <x v="21"/>
    <n v="86941"/>
  </r>
  <r>
    <s v="Russell Newton"/>
    <x v="16"/>
    <x v="0"/>
    <n v="3"/>
    <x v="80"/>
    <n v="5"/>
    <n v="4.4000000000000004"/>
    <x v="1"/>
    <x v="4"/>
    <x v="0"/>
    <n v="51135"/>
  </r>
  <r>
    <s v="Robert Gonzalez"/>
    <x v="15"/>
    <x v="1"/>
    <n v="18"/>
    <x v="54"/>
    <n v="6"/>
    <n v="4.3"/>
    <x v="0"/>
    <x v="3"/>
    <x v="6"/>
    <n v="95555"/>
  </r>
  <r>
    <s v="Tyrone Underwood"/>
    <x v="9"/>
    <x v="1"/>
    <n v="12"/>
    <x v="22"/>
    <n v="20"/>
    <n v="2"/>
    <x v="0"/>
    <x v="3"/>
    <x v="19"/>
    <n v="107062"/>
  </r>
  <r>
    <s v="Brian Delgado"/>
    <x v="10"/>
    <x v="1"/>
    <n v="17"/>
    <x v="8"/>
    <n v="44"/>
    <n v="1.1000000000000001"/>
    <x v="4"/>
    <x v="3"/>
    <x v="20"/>
    <n v="91680"/>
  </r>
  <r>
    <s v="Manuel Sanchez"/>
    <x v="9"/>
    <x v="1"/>
    <n v="12"/>
    <x v="56"/>
    <n v="0"/>
    <n v="4.2"/>
    <x v="3"/>
    <x v="3"/>
    <x v="2"/>
    <n v="97569"/>
  </r>
  <r>
    <s v="Joshua Chen"/>
    <x v="22"/>
    <x v="1"/>
    <n v="8"/>
    <x v="63"/>
    <n v="37"/>
    <n v="1.7"/>
    <x v="1"/>
    <x v="4"/>
    <x v="7"/>
    <n v="56570"/>
  </r>
  <r>
    <s v="Douglas Sweeney"/>
    <x v="0"/>
    <x v="1"/>
    <n v="6"/>
    <x v="44"/>
    <n v="83"/>
    <n v="4.2"/>
    <x v="1"/>
    <x v="4"/>
    <x v="5"/>
    <n v="58237"/>
  </r>
  <r>
    <s v="Joseph Friedman"/>
    <x v="18"/>
    <x v="0"/>
    <n v="18"/>
    <x v="34"/>
    <n v="0"/>
    <n v="3.7"/>
    <x v="4"/>
    <x v="3"/>
    <x v="9"/>
    <n v="105640"/>
  </r>
  <r>
    <s v="Steven Hernandez"/>
    <x v="4"/>
    <x v="0"/>
    <n v="11"/>
    <x v="56"/>
    <n v="17"/>
    <n v="1.7"/>
    <x v="2"/>
    <x v="5"/>
    <x v="9"/>
    <n v="86286"/>
  </r>
  <r>
    <s v="Shannon Ingram"/>
    <x v="18"/>
    <x v="0"/>
    <n v="7"/>
    <x v="61"/>
    <n v="8"/>
    <n v="1.3"/>
    <x v="2"/>
    <x v="0"/>
    <x v="7"/>
    <n v="60501"/>
  </r>
  <r>
    <s v="Drew Rojas"/>
    <x v="8"/>
    <x v="1"/>
    <n v="16"/>
    <x v="42"/>
    <n v="100"/>
    <n v="4.7"/>
    <x v="1"/>
    <x v="1"/>
    <x v="17"/>
    <n v="107814"/>
  </r>
  <r>
    <s v="Michael Baker"/>
    <x v="3"/>
    <x v="1"/>
    <n v="2"/>
    <x v="26"/>
    <n v="54"/>
    <n v="3.4"/>
    <x v="1"/>
    <x v="2"/>
    <x v="3"/>
    <n v="31328"/>
  </r>
  <r>
    <s v="Stephanie Fisher"/>
    <x v="12"/>
    <x v="1"/>
    <n v="9"/>
    <x v="8"/>
    <n v="87"/>
    <n v="3.5"/>
    <x v="3"/>
    <x v="4"/>
    <x v="7"/>
    <n v="50051"/>
  </r>
  <r>
    <s v="Jeremy Miller"/>
    <x v="3"/>
    <x v="0"/>
    <n v="7"/>
    <x v="10"/>
    <n v="28"/>
    <n v="2.8"/>
    <x v="1"/>
    <x v="4"/>
    <x v="5"/>
    <n v="46612"/>
  </r>
  <r>
    <s v="Daniel Pierce"/>
    <x v="26"/>
    <x v="0"/>
    <n v="3"/>
    <x v="81"/>
    <n v="77"/>
    <n v="1.6"/>
    <x v="4"/>
    <x v="2"/>
    <x v="5"/>
    <n v="32992"/>
  </r>
  <r>
    <s v="Michael Hernandez"/>
    <x v="9"/>
    <x v="1"/>
    <n v="23"/>
    <x v="53"/>
    <n v="50"/>
    <n v="3.4"/>
    <x v="0"/>
    <x v="1"/>
    <x v="4"/>
    <n v="104216"/>
  </r>
  <r>
    <s v="Victor Gutierrez"/>
    <x v="4"/>
    <x v="0"/>
    <n v="10"/>
    <x v="24"/>
    <n v="71"/>
    <n v="2"/>
    <x v="1"/>
    <x v="3"/>
    <x v="16"/>
    <n v="1043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04B26-9E93-7740-B62D-B7A202F237CC}" name="PivotTable8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5:D42" firstHeaderRow="0" firstDataRow="1" firstDataCol="1" rowPageCount="3" colPageCount="1"/>
  <pivotFields count="11">
    <pivotField showAll="0"/>
    <pivotField axis="axisPage" showAll="0">
      <items count="36">
        <item x="26"/>
        <item x="7"/>
        <item x="5"/>
        <item x="0"/>
        <item x="3"/>
        <item x="16"/>
        <item x="22"/>
        <item x="12"/>
        <item x="2"/>
        <item x="23"/>
        <item x="11"/>
        <item x="6"/>
        <item x="19"/>
        <item x="18"/>
        <item x="9"/>
        <item x="24"/>
        <item x="8"/>
        <item x="13"/>
        <item x="15"/>
        <item x="10"/>
        <item x="4"/>
        <item x="21"/>
        <item x="17"/>
        <item x="14"/>
        <item x="25"/>
        <item x="33"/>
        <item x="29"/>
        <item x="30"/>
        <item x="27"/>
        <item x="31"/>
        <item x="32"/>
        <item x="28"/>
        <item x="20"/>
        <item x="1"/>
        <item x="34"/>
        <item t="default"/>
      </items>
    </pivotField>
    <pivotField axis="axisPage" showAll="0">
      <items count="3">
        <item x="1"/>
        <item x="0"/>
        <item t="default"/>
      </items>
    </pivotField>
    <pivotField dataField="1" showAll="0"/>
    <pivotField dataField="1" showAll="0">
      <items count="83">
        <item x="22"/>
        <item x="16"/>
        <item x="55"/>
        <item x="4"/>
        <item x="54"/>
        <item x="64"/>
        <item x="11"/>
        <item x="9"/>
        <item x="66"/>
        <item x="42"/>
        <item x="32"/>
        <item x="12"/>
        <item x="36"/>
        <item x="20"/>
        <item x="69"/>
        <item x="46"/>
        <item x="15"/>
        <item x="30"/>
        <item x="21"/>
        <item x="76"/>
        <item x="48"/>
        <item x="17"/>
        <item x="52"/>
        <item x="51"/>
        <item x="8"/>
        <item x="35"/>
        <item x="79"/>
        <item x="67"/>
        <item x="81"/>
        <item x="27"/>
        <item x="58"/>
        <item x="45"/>
        <item x="49"/>
        <item x="6"/>
        <item x="37"/>
        <item x="72"/>
        <item x="14"/>
        <item x="10"/>
        <item x="18"/>
        <item x="28"/>
        <item x="47"/>
        <item x="56"/>
        <item x="70"/>
        <item x="65"/>
        <item x="3"/>
        <item x="60"/>
        <item x="1"/>
        <item x="61"/>
        <item x="0"/>
        <item x="31"/>
        <item x="74"/>
        <item x="38"/>
        <item x="33"/>
        <item x="5"/>
        <item x="50"/>
        <item x="73"/>
        <item x="63"/>
        <item x="43"/>
        <item x="77"/>
        <item x="39"/>
        <item x="68"/>
        <item x="44"/>
        <item x="41"/>
        <item x="19"/>
        <item x="29"/>
        <item x="75"/>
        <item x="62"/>
        <item x="40"/>
        <item x="23"/>
        <item x="80"/>
        <item x="24"/>
        <item x="2"/>
        <item x="13"/>
        <item x="57"/>
        <item x="34"/>
        <item x="7"/>
        <item x="25"/>
        <item x="59"/>
        <item x="26"/>
        <item x="53"/>
        <item x="78"/>
        <item x="71"/>
        <item t="default"/>
      </items>
    </pivotField>
    <pivotField dataField="1" showAll="0"/>
    <pivotField showAll="0"/>
    <pivotField axis="axisRow" showAll="0">
      <items count="6">
        <item x="4"/>
        <item x="3"/>
        <item x="1"/>
        <item x="0"/>
        <item x="2"/>
        <item t="default"/>
      </items>
    </pivotField>
    <pivotField axis="axisRow" showAll="0">
      <items count="7">
        <item x="0"/>
        <item x="2"/>
        <item x="4"/>
        <item x="1"/>
        <item x="5"/>
        <item x="3"/>
        <item t="default"/>
      </items>
    </pivotField>
    <pivotField axis="axisPage" showAll="0">
      <items count="26">
        <item x="22"/>
        <item x="1"/>
        <item x="23"/>
        <item x="15"/>
        <item x="24"/>
        <item x="20"/>
        <item x="8"/>
        <item x="4"/>
        <item x="14"/>
        <item x="10"/>
        <item x="13"/>
        <item x="19"/>
        <item x="18"/>
        <item x="11"/>
        <item x="12"/>
        <item x="9"/>
        <item x="16"/>
        <item x="21"/>
        <item x="17"/>
        <item x="2"/>
        <item x="6"/>
        <item x="7"/>
        <item x="0"/>
        <item x="5"/>
        <item x="3"/>
        <item t="default"/>
      </items>
    </pivotField>
    <pivotField showAll="0"/>
  </pivotFields>
  <rowFields count="2">
    <field x="8"/>
    <field x="7"/>
  </rowFields>
  <rowItems count="37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>
      <x v="5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1" hier="-1"/>
    <pageField fld="9" hier="-1"/>
  </pageFields>
  <dataFields count="3">
    <dataField name="Sum of Projects Completed" fld="3" baseField="0" baseItem="0"/>
    <dataField name="Average of Satisfaction Rate (%)" fld="5" subtotal="average" baseField="0" baseItem="0"/>
    <dataField name="Average of Productivity (%)" fld="4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556E5-74A9-5C4B-A6A1-513E70100588}">
  <dimension ref="A1:D42"/>
  <sheetViews>
    <sheetView zoomScaleNormal="100" workbookViewId="0">
      <selection activeCell="AD35" sqref="AD35"/>
    </sheetView>
  </sheetViews>
  <sheetFormatPr baseColWidth="10" defaultRowHeight="16" x14ac:dyDescent="0.2"/>
  <cols>
    <col min="1" max="1" width="17.5" bestFit="1" customWidth="1"/>
    <col min="2" max="2" width="23.6640625" bestFit="1" customWidth="1"/>
    <col min="3" max="3" width="28.5" bestFit="1" customWidth="1"/>
    <col min="4" max="4" width="24.1640625" bestFit="1" customWidth="1"/>
    <col min="5" max="8" width="2.1640625" bestFit="1" customWidth="1"/>
    <col min="9" max="83" width="3.1640625" bestFit="1" customWidth="1"/>
  </cols>
  <sheetData>
    <row r="1" spans="1:4" x14ac:dyDescent="0.2">
      <c r="A1" s="3" t="s">
        <v>2</v>
      </c>
      <c r="B1" t="s">
        <v>228</v>
      </c>
    </row>
    <row r="2" spans="1:4" x14ac:dyDescent="0.2">
      <c r="A2" s="3" t="s">
        <v>1</v>
      </c>
      <c r="B2" t="s">
        <v>228</v>
      </c>
    </row>
    <row r="3" spans="1:4" x14ac:dyDescent="0.2">
      <c r="A3" s="3" t="s">
        <v>9</v>
      </c>
      <c r="B3" t="s">
        <v>228</v>
      </c>
    </row>
    <row r="5" spans="1:4" x14ac:dyDescent="0.2">
      <c r="A5" s="3" t="s">
        <v>224</v>
      </c>
      <c r="B5" t="s">
        <v>226</v>
      </c>
      <c r="C5" t="s">
        <v>229</v>
      </c>
      <c r="D5" t="s">
        <v>227</v>
      </c>
    </row>
    <row r="6" spans="1:4" x14ac:dyDescent="0.2">
      <c r="A6" s="4" t="s">
        <v>14</v>
      </c>
      <c r="B6">
        <v>310</v>
      </c>
      <c r="C6">
        <v>39.787878787878789</v>
      </c>
      <c r="D6">
        <v>44.545454545454547</v>
      </c>
    </row>
    <row r="7" spans="1:4" x14ac:dyDescent="0.2">
      <c r="A7" s="5" t="s">
        <v>33</v>
      </c>
      <c r="B7">
        <v>74</v>
      </c>
      <c r="C7">
        <v>42.333333333333336</v>
      </c>
      <c r="D7">
        <v>36.111111111111114</v>
      </c>
    </row>
    <row r="8" spans="1:4" x14ac:dyDescent="0.2">
      <c r="A8" s="5" t="s">
        <v>29</v>
      </c>
      <c r="B8">
        <v>33</v>
      </c>
      <c r="C8">
        <v>51.5</v>
      </c>
      <c r="D8">
        <v>28</v>
      </c>
    </row>
    <row r="9" spans="1:4" x14ac:dyDescent="0.2">
      <c r="A9" s="5" t="s">
        <v>17</v>
      </c>
      <c r="B9">
        <v>43</v>
      </c>
      <c r="C9">
        <v>46.2</v>
      </c>
      <c r="D9">
        <v>49.4</v>
      </c>
    </row>
    <row r="10" spans="1:4" x14ac:dyDescent="0.2">
      <c r="A10" s="5" t="s">
        <v>13</v>
      </c>
      <c r="B10">
        <v>84</v>
      </c>
      <c r="C10">
        <v>32.714285714285715</v>
      </c>
      <c r="D10">
        <v>52.714285714285715</v>
      </c>
    </row>
    <row r="11" spans="1:4" x14ac:dyDescent="0.2">
      <c r="A11" s="5" t="s">
        <v>25</v>
      </c>
      <c r="B11">
        <v>76</v>
      </c>
      <c r="C11">
        <v>33.25</v>
      </c>
      <c r="D11">
        <v>52.125</v>
      </c>
    </row>
    <row r="12" spans="1:4" x14ac:dyDescent="0.2">
      <c r="A12" s="4" t="s">
        <v>21</v>
      </c>
      <c r="B12">
        <v>81</v>
      </c>
      <c r="C12">
        <v>55.266666666666666</v>
      </c>
      <c r="D12">
        <v>41.333333333333336</v>
      </c>
    </row>
    <row r="13" spans="1:4" x14ac:dyDescent="0.2">
      <c r="A13" s="5" t="s">
        <v>33</v>
      </c>
      <c r="B13">
        <v>8</v>
      </c>
      <c r="C13">
        <v>40.666666666666664</v>
      </c>
      <c r="D13">
        <v>62</v>
      </c>
    </row>
    <row r="14" spans="1:4" x14ac:dyDescent="0.2">
      <c r="A14" s="5" t="s">
        <v>29</v>
      </c>
      <c r="B14">
        <v>26</v>
      </c>
      <c r="C14">
        <v>62.875</v>
      </c>
      <c r="D14">
        <v>46.5</v>
      </c>
    </row>
    <row r="15" spans="1:4" x14ac:dyDescent="0.2">
      <c r="A15" s="5" t="s">
        <v>17</v>
      </c>
      <c r="B15">
        <v>14</v>
      </c>
      <c r="C15">
        <v>69.5</v>
      </c>
      <c r="D15">
        <v>52.25</v>
      </c>
    </row>
    <row r="16" spans="1:4" x14ac:dyDescent="0.2">
      <c r="A16" s="5" t="s">
        <v>13</v>
      </c>
      <c r="B16">
        <v>12</v>
      </c>
      <c r="C16">
        <v>41</v>
      </c>
      <c r="D16">
        <v>27.166666666666668</v>
      </c>
    </row>
    <row r="17" spans="1:4" x14ac:dyDescent="0.2">
      <c r="A17" s="5" t="s">
        <v>25</v>
      </c>
      <c r="B17">
        <v>21</v>
      </c>
      <c r="C17">
        <v>56.555555555555557</v>
      </c>
      <c r="D17">
        <v>34.444444444444443</v>
      </c>
    </row>
    <row r="18" spans="1:4" x14ac:dyDescent="0.2">
      <c r="A18" s="4" t="s">
        <v>26</v>
      </c>
      <c r="B18">
        <v>237</v>
      </c>
      <c r="C18">
        <v>54.057142857142857</v>
      </c>
      <c r="D18">
        <v>52.314285714285717</v>
      </c>
    </row>
    <row r="19" spans="1:4" x14ac:dyDescent="0.2">
      <c r="A19" s="5" t="s">
        <v>33</v>
      </c>
      <c r="B19">
        <v>68</v>
      </c>
      <c r="C19">
        <v>60.75</v>
      </c>
      <c r="D19">
        <v>33.625</v>
      </c>
    </row>
    <row r="20" spans="1:4" x14ac:dyDescent="0.2">
      <c r="A20" s="5" t="s">
        <v>29</v>
      </c>
      <c r="B20">
        <v>17</v>
      </c>
      <c r="C20">
        <v>59.666666666666664</v>
      </c>
      <c r="D20">
        <v>26.666666666666668</v>
      </c>
    </row>
    <row r="21" spans="1:4" x14ac:dyDescent="0.2">
      <c r="A21" s="5" t="s">
        <v>17</v>
      </c>
      <c r="B21">
        <v>45</v>
      </c>
      <c r="C21">
        <v>54.571428571428569</v>
      </c>
      <c r="D21">
        <v>75.857142857142861</v>
      </c>
    </row>
    <row r="22" spans="1:4" x14ac:dyDescent="0.2">
      <c r="A22" s="5" t="s">
        <v>13</v>
      </c>
      <c r="B22">
        <v>62</v>
      </c>
      <c r="C22">
        <v>54.888888888888886</v>
      </c>
      <c r="D22">
        <v>55</v>
      </c>
    </row>
    <row r="23" spans="1:4" x14ac:dyDescent="0.2">
      <c r="A23" s="5" t="s">
        <v>25</v>
      </c>
      <c r="B23">
        <v>45</v>
      </c>
      <c r="C23">
        <v>43.875</v>
      </c>
      <c r="D23">
        <v>57</v>
      </c>
    </row>
    <row r="24" spans="1:4" x14ac:dyDescent="0.2">
      <c r="A24" s="4" t="s">
        <v>18</v>
      </c>
      <c r="B24">
        <v>799</v>
      </c>
      <c r="C24">
        <v>55.575000000000003</v>
      </c>
      <c r="D24">
        <v>48.674999999999997</v>
      </c>
    </row>
    <row r="25" spans="1:4" x14ac:dyDescent="0.2">
      <c r="A25" s="5" t="s">
        <v>33</v>
      </c>
      <c r="B25">
        <v>215</v>
      </c>
      <c r="C25">
        <v>52.909090909090907</v>
      </c>
      <c r="D25">
        <v>47</v>
      </c>
    </row>
    <row r="26" spans="1:4" x14ac:dyDescent="0.2">
      <c r="A26" s="5" t="s">
        <v>29</v>
      </c>
      <c r="B26">
        <v>98</v>
      </c>
      <c r="C26">
        <v>24.8</v>
      </c>
      <c r="D26">
        <v>70.2</v>
      </c>
    </row>
    <row r="27" spans="1:4" x14ac:dyDescent="0.2">
      <c r="A27" s="5" t="s">
        <v>17</v>
      </c>
      <c r="B27">
        <v>178</v>
      </c>
      <c r="C27">
        <v>54</v>
      </c>
      <c r="D27">
        <v>45.777777777777779</v>
      </c>
    </row>
    <row r="28" spans="1:4" x14ac:dyDescent="0.2">
      <c r="A28" s="5" t="s">
        <v>13</v>
      </c>
      <c r="B28">
        <v>151</v>
      </c>
      <c r="C28">
        <v>68.285714285714292</v>
      </c>
      <c r="D28">
        <v>54.428571428571431</v>
      </c>
    </row>
    <row r="29" spans="1:4" x14ac:dyDescent="0.2">
      <c r="A29" s="5" t="s">
        <v>25</v>
      </c>
      <c r="B29">
        <v>157</v>
      </c>
      <c r="C29">
        <v>69.125</v>
      </c>
      <c r="D29">
        <v>35.75</v>
      </c>
    </row>
    <row r="30" spans="1:4" x14ac:dyDescent="0.2">
      <c r="A30" s="4" t="s">
        <v>34</v>
      </c>
      <c r="B30">
        <v>385</v>
      </c>
      <c r="C30">
        <v>50.4</v>
      </c>
      <c r="D30">
        <v>50.233333333333334</v>
      </c>
    </row>
    <row r="31" spans="1:4" x14ac:dyDescent="0.2">
      <c r="A31" s="5" t="s">
        <v>33</v>
      </c>
      <c r="B31">
        <v>31</v>
      </c>
      <c r="C31">
        <v>56.333333333333336</v>
      </c>
      <c r="D31">
        <v>27.333333333333332</v>
      </c>
    </row>
    <row r="32" spans="1:4" x14ac:dyDescent="0.2">
      <c r="A32" s="5" t="s">
        <v>29</v>
      </c>
      <c r="B32">
        <v>89</v>
      </c>
      <c r="C32">
        <v>60.571428571428569</v>
      </c>
      <c r="D32">
        <v>57.571428571428569</v>
      </c>
    </row>
    <row r="33" spans="1:4" x14ac:dyDescent="0.2">
      <c r="A33" s="5" t="s">
        <v>17</v>
      </c>
      <c r="B33">
        <v>79</v>
      </c>
      <c r="C33">
        <v>49.428571428571431</v>
      </c>
      <c r="D33">
        <v>57.142857142857146</v>
      </c>
    </row>
    <row r="34" spans="1:4" x14ac:dyDescent="0.2">
      <c r="A34" s="5" t="s">
        <v>13</v>
      </c>
      <c r="B34">
        <v>70</v>
      </c>
      <c r="C34">
        <v>39.200000000000003</v>
      </c>
      <c r="D34">
        <v>33.6</v>
      </c>
    </row>
    <row r="35" spans="1:4" x14ac:dyDescent="0.2">
      <c r="A35" s="5" t="s">
        <v>25</v>
      </c>
      <c r="B35">
        <v>116</v>
      </c>
      <c r="C35">
        <v>47.125</v>
      </c>
      <c r="D35">
        <v>56.75</v>
      </c>
    </row>
    <row r="36" spans="1:4" x14ac:dyDescent="0.2">
      <c r="A36" s="4" t="s">
        <v>23</v>
      </c>
      <c r="B36">
        <v>479</v>
      </c>
      <c r="C36">
        <v>43.40625</v>
      </c>
      <c r="D36">
        <v>42.375</v>
      </c>
    </row>
    <row r="37" spans="1:4" x14ac:dyDescent="0.2">
      <c r="A37" s="5" t="s">
        <v>33</v>
      </c>
      <c r="B37">
        <v>109</v>
      </c>
      <c r="C37">
        <v>44.571428571428569</v>
      </c>
      <c r="D37">
        <v>50.571428571428569</v>
      </c>
    </row>
    <row r="38" spans="1:4" x14ac:dyDescent="0.2">
      <c r="A38" s="5" t="s">
        <v>29</v>
      </c>
      <c r="B38">
        <v>74</v>
      </c>
      <c r="C38">
        <v>43.2</v>
      </c>
      <c r="D38">
        <v>44.4</v>
      </c>
    </row>
    <row r="39" spans="1:4" x14ac:dyDescent="0.2">
      <c r="A39" s="5" t="s">
        <v>17</v>
      </c>
      <c r="B39">
        <v>84</v>
      </c>
      <c r="C39">
        <v>57</v>
      </c>
      <c r="D39">
        <v>57</v>
      </c>
    </row>
    <row r="40" spans="1:4" x14ac:dyDescent="0.2">
      <c r="A40" s="5" t="s">
        <v>13</v>
      </c>
      <c r="B40">
        <v>114</v>
      </c>
      <c r="C40">
        <v>36.25</v>
      </c>
      <c r="D40">
        <v>35.375</v>
      </c>
    </row>
    <row r="41" spans="1:4" x14ac:dyDescent="0.2">
      <c r="A41" s="5" t="s">
        <v>25</v>
      </c>
      <c r="B41">
        <v>98</v>
      </c>
      <c r="C41">
        <v>38.166666666666664</v>
      </c>
      <c r="D41">
        <v>25.833333333333332</v>
      </c>
    </row>
    <row r="42" spans="1:4" x14ac:dyDescent="0.2">
      <c r="A42" s="4" t="s">
        <v>225</v>
      </c>
      <c r="B42">
        <v>2291</v>
      </c>
      <c r="C42">
        <v>49.935000000000002</v>
      </c>
      <c r="D42">
        <v>46.755000000000003</v>
      </c>
    </row>
  </sheetData>
  <sortState xmlns:xlrd2="http://schemas.microsoft.com/office/spreadsheetml/2017/richdata2" columnSort="1" ref="A5:D42">
    <sortCondition descending="1" ref="D5"/>
  </sortState>
  <pageMargins left="0.7" right="0.7" top="0.75" bottom="0.75" header="0.3" footer="0.3"/>
  <pageSetup orientation="portrait" horizontalDpi="0" verticalDpi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2C1B0-1E07-DA4D-9FD5-1CB7A8659C49}">
  <dimension ref="A1:E4"/>
  <sheetViews>
    <sheetView tabSelected="1" workbookViewId="0">
      <selection activeCell="F3" sqref="F3"/>
    </sheetView>
  </sheetViews>
  <sheetFormatPr baseColWidth="10" defaultRowHeight="16" x14ac:dyDescent="0.2"/>
  <cols>
    <col min="1" max="2" width="14.83203125" customWidth="1"/>
    <col min="3" max="3" width="16.33203125" customWidth="1"/>
    <col min="4" max="4" width="16.83203125" customWidth="1"/>
    <col min="5" max="5" width="14" customWidth="1"/>
  </cols>
  <sheetData>
    <row r="1" spans="1:5" x14ac:dyDescent="0.2">
      <c r="A1" t="s">
        <v>230</v>
      </c>
      <c r="B1" t="s">
        <v>7</v>
      </c>
      <c r="C1" t="s">
        <v>8</v>
      </c>
      <c r="D1" t="s">
        <v>231</v>
      </c>
      <c r="E1" t="s">
        <v>4</v>
      </c>
    </row>
    <row r="2" spans="1:5" x14ac:dyDescent="0.2">
      <c r="A2" t="s">
        <v>32</v>
      </c>
      <c r="B2" t="s">
        <v>33</v>
      </c>
      <c r="C2" t="s">
        <v>34</v>
      </c>
      <c r="D2">
        <f>VLOOKUP(A2,hr_dashboard_data!A1:K201,4,FALSE)</f>
        <v>11</v>
      </c>
      <c r="E2">
        <f>VLOOKUP(A2,hr_dashboard_data!A1:K201,5,FALSE)</f>
        <v>45</v>
      </c>
    </row>
    <row r="3" spans="1:5" x14ac:dyDescent="0.2">
      <c r="A3" t="s">
        <v>101</v>
      </c>
      <c r="B3" t="s">
        <v>33</v>
      </c>
      <c r="C3" t="s">
        <v>34</v>
      </c>
      <c r="D3">
        <f>VLOOKUP(A3,hr_dashboard_data!A2:K202,4,FALSE)</f>
        <v>9</v>
      </c>
      <c r="E3">
        <f>VLOOKUP(A3,hr_dashboard_data!A2:K202,5,FALSE)</f>
        <v>37</v>
      </c>
    </row>
    <row r="4" spans="1:5" x14ac:dyDescent="0.2">
      <c r="A4" t="s">
        <v>50</v>
      </c>
      <c r="B4" t="s">
        <v>33</v>
      </c>
      <c r="C4" t="s">
        <v>34</v>
      </c>
      <c r="D4">
        <f>VLOOKUP(A4,hr_dashboard_data!A3:K203,4,FALSE)</f>
        <v>11</v>
      </c>
      <c r="E4">
        <f>VLOOKUP(A4,hr_dashboard_data!A3:K203,5,FALSE)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A183A-3410-5042-A5CA-3EC7EEDBC25D}">
  <dimension ref="A1:K201"/>
  <sheetViews>
    <sheetView topLeftCell="A179" workbookViewId="0">
      <selection activeCell="L14" sqref="L14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>
        <v>25</v>
      </c>
      <c r="C2" t="s">
        <v>12</v>
      </c>
      <c r="D2">
        <v>11</v>
      </c>
      <c r="E2">
        <v>57</v>
      </c>
      <c r="F2">
        <v>25</v>
      </c>
      <c r="G2">
        <v>4.7</v>
      </c>
      <c r="H2" t="s">
        <v>13</v>
      </c>
      <c r="I2" t="s">
        <v>14</v>
      </c>
      <c r="J2" s="1">
        <v>45311</v>
      </c>
      <c r="K2">
        <v>63596</v>
      </c>
    </row>
    <row r="3" spans="1:11" x14ac:dyDescent="0.2">
      <c r="A3" t="s">
        <v>15</v>
      </c>
      <c r="B3">
        <v>59</v>
      </c>
      <c r="C3" t="s">
        <v>16</v>
      </c>
      <c r="D3">
        <v>19</v>
      </c>
      <c r="E3">
        <v>55</v>
      </c>
      <c r="F3">
        <v>76</v>
      </c>
      <c r="G3">
        <v>2.8</v>
      </c>
      <c r="H3" t="s">
        <v>17</v>
      </c>
      <c r="I3" t="s">
        <v>18</v>
      </c>
      <c r="J3" s="2">
        <v>36161</v>
      </c>
      <c r="K3">
        <v>112540</v>
      </c>
    </row>
    <row r="4" spans="1:11" x14ac:dyDescent="0.2">
      <c r="A4" t="s">
        <v>19</v>
      </c>
      <c r="B4">
        <v>30</v>
      </c>
      <c r="C4" t="s">
        <v>12</v>
      </c>
      <c r="D4">
        <v>8</v>
      </c>
      <c r="E4">
        <v>87</v>
      </c>
      <c r="F4">
        <v>10</v>
      </c>
      <c r="G4">
        <v>2.4</v>
      </c>
      <c r="H4" t="s">
        <v>17</v>
      </c>
      <c r="I4" t="s">
        <v>14</v>
      </c>
      <c r="J4" s="1">
        <v>45308</v>
      </c>
      <c r="K4">
        <v>66292</v>
      </c>
    </row>
    <row r="5" spans="1:11" x14ac:dyDescent="0.2">
      <c r="A5" t="s">
        <v>20</v>
      </c>
      <c r="B5">
        <v>26</v>
      </c>
      <c r="C5" t="s">
        <v>16</v>
      </c>
      <c r="D5">
        <v>1</v>
      </c>
      <c r="E5">
        <v>53</v>
      </c>
      <c r="F5">
        <v>4</v>
      </c>
      <c r="G5">
        <v>1.4</v>
      </c>
      <c r="H5" t="s">
        <v>13</v>
      </c>
      <c r="I5" t="s">
        <v>21</v>
      </c>
      <c r="J5" s="1">
        <v>45313</v>
      </c>
      <c r="K5">
        <v>38303</v>
      </c>
    </row>
    <row r="6" spans="1:11" x14ac:dyDescent="0.2">
      <c r="A6" t="s">
        <v>22</v>
      </c>
      <c r="B6">
        <v>43</v>
      </c>
      <c r="C6" t="s">
        <v>12</v>
      </c>
      <c r="D6">
        <v>14</v>
      </c>
      <c r="E6">
        <v>3</v>
      </c>
      <c r="F6">
        <v>9</v>
      </c>
      <c r="G6">
        <v>4.5</v>
      </c>
      <c r="H6" t="s">
        <v>17</v>
      </c>
      <c r="I6" t="s">
        <v>23</v>
      </c>
      <c r="J6" s="1">
        <v>45296</v>
      </c>
      <c r="K6">
        <v>101133</v>
      </c>
    </row>
    <row r="7" spans="1:11" x14ac:dyDescent="0.2">
      <c r="A7" t="s">
        <v>24</v>
      </c>
      <c r="B7">
        <v>24</v>
      </c>
      <c r="C7" t="s">
        <v>12</v>
      </c>
      <c r="D7">
        <v>5</v>
      </c>
      <c r="E7">
        <v>63</v>
      </c>
      <c r="F7">
        <v>33</v>
      </c>
      <c r="G7">
        <v>4.2</v>
      </c>
      <c r="H7" t="s">
        <v>25</v>
      </c>
      <c r="I7" t="s">
        <v>26</v>
      </c>
      <c r="J7" s="1">
        <v>45312</v>
      </c>
      <c r="K7">
        <v>48740</v>
      </c>
    </row>
    <row r="8" spans="1:11" x14ac:dyDescent="0.2">
      <c r="A8" t="s">
        <v>27</v>
      </c>
      <c r="B8">
        <v>33</v>
      </c>
      <c r="C8" t="s">
        <v>16</v>
      </c>
      <c r="D8">
        <v>13</v>
      </c>
      <c r="E8">
        <v>41</v>
      </c>
      <c r="F8">
        <v>39</v>
      </c>
      <c r="G8">
        <v>2.2999999999999998</v>
      </c>
      <c r="H8" t="s">
        <v>25</v>
      </c>
      <c r="I8" t="s">
        <v>14</v>
      </c>
      <c r="J8" s="1">
        <v>45309</v>
      </c>
      <c r="K8">
        <v>73502</v>
      </c>
    </row>
    <row r="9" spans="1:11" x14ac:dyDescent="0.2">
      <c r="A9" t="s">
        <v>28</v>
      </c>
      <c r="B9">
        <v>23</v>
      </c>
      <c r="C9" t="s">
        <v>16</v>
      </c>
      <c r="D9">
        <v>4</v>
      </c>
      <c r="E9">
        <v>92</v>
      </c>
      <c r="F9">
        <v>68</v>
      </c>
      <c r="G9">
        <v>2.8</v>
      </c>
      <c r="H9" t="s">
        <v>29</v>
      </c>
      <c r="I9" t="s">
        <v>21</v>
      </c>
      <c r="J9" s="1">
        <v>45312</v>
      </c>
      <c r="K9">
        <v>39670</v>
      </c>
    </row>
    <row r="10" spans="1:11" x14ac:dyDescent="0.2">
      <c r="A10" t="s">
        <v>30</v>
      </c>
      <c r="B10">
        <v>30</v>
      </c>
      <c r="C10" t="s">
        <v>16</v>
      </c>
      <c r="D10">
        <v>7</v>
      </c>
      <c r="E10">
        <v>32</v>
      </c>
      <c r="F10">
        <v>43</v>
      </c>
      <c r="G10">
        <v>2.2999999999999998</v>
      </c>
      <c r="H10" t="s">
        <v>13</v>
      </c>
      <c r="I10" t="s">
        <v>26</v>
      </c>
      <c r="J10" s="1">
        <v>45310</v>
      </c>
      <c r="K10">
        <v>49323</v>
      </c>
    </row>
    <row r="11" spans="1:11" x14ac:dyDescent="0.2">
      <c r="A11" t="s">
        <v>31</v>
      </c>
      <c r="B11">
        <v>39</v>
      </c>
      <c r="C11" t="s">
        <v>16</v>
      </c>
      <c r="D11">
        <v>17</v>
      </c>
      <c r="E11">
        <v>10</v>
      </c>
      <c r="F11">
        <v>15</v>
      </c>
      <c r="G11">
        <v>1.1000000000000001</v>
      </c>
      <c r="H11" t="s">
        <v>29</v>
      </c>
      <c r="I11" t="s">
        <v>23</v>
      </c>
      <c r="J11" s="1">
        <v>45295</v>
      </c>
      <c r="K11">
        <v>92915</v>
      </c>
    </row>
    <row r="12" spans="1:11" x14ac:dyDescent="0.2">
      <c r="A12" t="s">
        <v>32</v>
      </c>
      <c r="B12">
        <v>36</v>
      </c>
      <c r="C12" t="s">
        <v>12</v>
      </c>
      <c r="D12">
        <v>11</v>
      </c>
      <c r="E12">
        <v>45</v>
      </c>
      <c r="F12">
        <v>67</v>
      </c>
      <c r="G12">
        <v>1.2</v>
      </c>
      <c r="H12" t="s">
        <v>33</v>
      </c>
      <c r="I12" t="s">
        <v>34</v>
      </c>
      <c r="J12" s="1">
        <v>45304</v>
      </c>
      <c r="K12">
        <v>80721</v>
      </c>
    </row>
    <row r="13" spans="1:11" x14ac:dyDescent="0.2">
      <c r="A13" t="s">
        <v>35</v>
      </c>
      <c r="B13">
        <v>42</v>
      </c>
      <c r="C13" t="s">
        <v>16</v>
      </c>
      <c r="D13">
        <v>19</v>
      </c>
      <c r="E13">
        <v>9</v>
      </c>
      <c r="F13">
        <v>31</v>
      </c>
      <c r="G13">
        <v>2.5</v>
      </c>
      <c r="H13" t="s">
        <v>25</v>
      </c>
      <c r="I13" t="s">
        <v>23</v>
      </c>
      <c r="J13" s="1">
        <v>45298</v>
      </c>
      <c r="K13">
        <v>95072</v>
      </c>
    </row>
    <row r="14" spans="1:11" x14ac:dyDescent="0.2">
      <c r="A14" t="s">
        <v>36</v>
      </c>
      <c r="B14">
        <v>25</v>
      </c>
      <c r="C14" t="s">
        <v>16</v>
      </c>
      <c r="D14">
        <v>2</v>
      </c>
      <c r="E14">
        <v>15</v>
      </c>
      <c r="F14">
        <v>97</v>
      </c>
      <c r="G14">
        <v>1.8</v>
      </c>
      <c r="H14" t="s">
        <v>29</v>
      </c>
      <c r="I14" t="s">
        <v>21</v>
      </c>
      <c r="J14" s="1">
        <v>45312</v>
      </c>
      <c r="K14">
        <v>35169</v>
      </c>
    </row>
    <row r="15" spans="1:11" x14ac:dyDescent="0.2">
      <c r="A15" t="s">
        <v>37</v>
      </c>
      <c r="B15">
        <v>32</v>
      </c>
      <c r="C15" t="s">
        <v>16</v>
      </c>
      <c r="D15">
        <v>14</v>
      </c>
      <c r="E15">
        <v>45</v>
      </c>
      <c r="F15">
        <v>20</v>
      </c>
      <c r="G15">
        <v>3.1</v>
      </c>
      <c r="H15" t="s">
        <v>13</v>
      </c>
      <c r="I15" t="s">
        <v>14</v>
      </c>
      <c r="J15" s="1">
        <v>45309</v>
      </c>
      <c r="K15">
        <v>70271</v>
      </c>
    </row>
    <row r="16" spans="1:11" x14ac:dyDescent="0.2">
      <c r="A16" t="s">
        <v>38</v>
      </c>
      <c r="B16">
        <v>29</v>
      </c>
      <c r="C16" t="s">
        <v>12</v>
      </c>
      <c r="D16">
        <v>18</v>
      </c>
      <c r="E16">
        <v>88</v>
      </c>
      <c r="F16">
        <v>8</v>
      </c>
      <c r="G16">
        <v>1.8</v>
      </c>
      <c r="H16" t="s">
        <v>25</v>
      </c>
      <c r="I16" t="s">
        <v>34</v>
      </c>
      <c r="J16" s="1">
        <v>45309</v>
      </c>
      <c r="K16">
        <v>89571</v>
      </c>
    </row>
    <row r="17" spans="1:11" x14ac:dyDescent="0.2">
      <c r="A17" t="s">
        <v>39</v>
      </c>
      <c r="B17">
        <v>40</v>
      </c>
      <c r="C17" t="s">
        <v>12</v>
      </c>
      <c r="D17">
        <v>17</v>
      </c>
      <c r="E17">
        <v>3</v>
      </c>
      <c r="F17">
        <v>53</v>
      </c>
      <c r="G17">
        <v>1.8</v>
      </c>
      <c r="H17" t="s">
        <v>25</v>
      </c>
      <c r="I17" t="s">
        <v>18</v>
      </c>
      <c r="J17" s="1">
        <v>45304</v>
      </c>
      <c r="K17">
        <v>118466</v>
      </c>
    </row>
    <row r="18" spans="1:11" x14ac:dyDescent="0.2">
      <c r="A18" t="s">
        <v>40</v>
      </c>
      <c r="B18">
        <v>46</v>
      </c>
      <c r="C18" t="s">
        <v>12</v>
      </c>
      <c r="D18">
        <v>15</v>
      </c>
      <c r="E18">
        <v>44</v>
      </c>
      <c r="F18">
        <v>37</v>
      </c>
      <c r="G18">
        <v>3.7</v>
      </c>
      <c r="H18" t="s">
        <v>13</v>
      </c>
      <c r="I18" t="s">
        <v>23</v>
      </c>
      <c r="J18" s="1">
        <v>45304</v>
      </c>
      <c r="K18">
        <v>105893</v>
      </c>
    </row>
    <row r="19" spans="1:11" x14ac:dyDescent="0.2">
      <c r="A19" t="s">
        <v>41</v>
      </c>
      <c r="B19">
        <v>41</v>
      </c>
      <c r="C19" t="s">
        <v>16</v>
      </c>
      <c r="D19">
        <v>13</v>
      </c>
      <c r="E19">
        <v>44</v>
      </c>
      <c r="F19">
        <v>36</v>
      </c>
      <c r="G19">
        <v>3.9</v>
      </c>
      <c r="H19" t="s">
        <v>13</v>
      </c>
      <c r="I19" t="s">
        <v>23</v>
      </c>
      <c r="J19" s="1">
        <v>45302</v>
      </c>
      <c r="K19">
        <v>92074</v>
      </c>
    </row>
    <row r="20" spans="1:11" x14ac:dyDescent="0.2">
      <c r="A20" t="s">
        <v>42</v>
      </c>
      <c r="B20">
        <v>36</v>
      </c>
      <c r="C20" t="s">
        <v>12</v>
      </c>
      <c r="D20">
        <v>12</v>
      </c>
      <c r="E20">
        <v>22</v>
      </c>
      <c r="F20">
        <v>66</v>
      </c>
      <c r="G20">
        <v>2.2000000000000002</v>
      </c>
      <c r="H20" t="s">
        <v>17</v>
      </c>
      <c r="I20" t="s">
        <v>23</v>
      </c>
      <c r="J20" s="1">
        <v>45296</v>
      </c>
      <c r="K20">
        <v>107279</v>
      </c>
    </row>
    <row r="21" spans="1:11" x14ac:dyDescent="0.2">
      <c r="A21" t="s">
        <v>43</v>
      </c>
      <c r="B21">
        <v>23</v>
      </c>
      <c r="C21" t="s">
        <v>12</v>
      </c>
      <c r="D21">
        <v>2</v>
      </c>
      <c r="E21">
        <v>1</v>
      </c>
      <c r="F21">
        <v>17</v>
      </c>
      <c r="G21">
        <v>4.4000000000000004</v>
      </c>
      <c r="H21" t="s">
        <v>25</v>
      </c>
      <c r="I21" t="s">
        <v>21</v>
      </c>
      <c r="J21" s="1">
        <v>45312</v>
      </c>
      <c r="K21">
        <v>37855</v>
      </c>
    </row>
    <row r="22" spans="1:11" x14ac:dyDescent="0.2">
      <c r="A22" t="s">
        <v>44</v>
      </c>
      <c r="B22">
        <v>25</v>
      </c>
      <c r="C22" t="s">
        <v>12</v>
      </c>
      <c r="D22">
        <v>10</v>
      </c>
      <c r="E22">
        <v>29</v>
      </c>
      <c r="F22">
        <v>73</v>
      </c>
      <c r="G22">
        <v>2</v>
      </c>
      <c r="H22" t="s">
        <v>33</v>
      </c>
      <c r="I22" t="s">
        <v>26</v>
      </c>
      <c r="J22" s="1">
        <v>45310</v>
      </c>
      <c r="K22">
        <v>52122</v>
      </c>
    </row>
    <row r="23" spans="1:11" x14ac:dyDescent="0.2">
      <c r="A23" t="s">
        <v>45</v>
      </c>
      <c r="B23">
        <v>26</v>
      </c>
      <c r="C23" t="s">
        <v>16</v>
      </c>
      <c r="D23">
        <v>4</v>
      </c>
      <c r="E23">
        <v>46</v>
      </c>
      <c r="F23">
        <v>66</v>
      </c>
      <c r="G23">
        <v>2.4</v>
      </c>
      <c r="H23" t="s">
        <v>25</v>
      </c>
      <c r="I23" t="s">
        <v>26</v>
      </c>
      <c r="J23" s="1">
        <v>45309</v>
      </c>
      <c r="K23">
        <v>50233</v>
      </c>
    </row>
    <row r="24" spans="1:11" x14ac:dyDescent="0.2">
      <c r="A24" t="s">
        <v>46</v>
      </c>
      <c r="B24">
        <v>27</v>
      </c>
      <c r="C24" t="s">
        <v>16</v>
      </c>
      <c r="D24">
        <v>10</v>
      </c>
      <c r="E24">
        <v>9</v>
      </c>
      <c r="F24">
        <v>80</v>
      </c>
      <c r="G24">
        <v>3.8</v>
      </c>
      <c r="H24" t="s">
        <v>33</v>
      </c>
      <c r="I24" t="s">
        <v>26</v>
      </c>
      <c r="J24" s="1">
        <v>45311</v>
      </c>
      <c r="K24">
        <v>51316</v>
      </c>
    </row>
    <row r="25" spans="1:11" x14ac:dyDescent="0.2">
      <c r="A25" t="s">
        <v>47</v>
      </c>
      <c r="B25">
        <v>25</v>
      </c>
      <c r="C25" t="s">
        <v>16</v>
      </c>
      <c r="D25">
        <v>3</v>
      </c>
      <c r="E25">
        <v>76</v>
      </c>
      <c r="F25">
        <v>26</v>
      </c>
      <c r="G25">
        <v>1.2</v>
      </c>
      <c r="H25" t="s">
        <v>13</v>
      </c>
      <c r="I25" t="s">
        <v>26</v>
      </c>
      <c r="J25" s="1">
        <v>45312</v>
      </c>
      <c r="K25">
        <v>56946</v>
      </c>
    </row>
    <row r="26" spans="1:11" x14ac:dyDescent="0.2">
      <c r="A26" t="s">
        <v>48</v>
      </c>
      <c r="B26">
        <v>40</v>
      </c>
      <c r="C26" t="s">
        <v>12</v>
      </c>
      <c r="D26">
        <v>22</v>
      </c>
      <c r="E26">
        <v>18</v>
      </c>
      <c r="F26">
        <v>68</v>
      </c>
      <c r="G26">
        <v>4.7</v>
      </c>
      <c r="H26" t="s">
        <v>17</v>
      </c>
      <c r="I26" t="s">
        <v>18</v>
      </c>
      <c r="J26" s="1">
        <v>45303</v>
      </c>
      <c r="K26">
        <v>100795</v>
      </c>
    </row>
    <row r="27" spans="1:11" x14ac:dyDescent="0.2">
      <c r="A27" t="s">
        <v>49</v>
      </c>
      <c r="B27">
        <v>27</v>
      </c>
      <c r="C27" t="s">
        <v>16</v>
      </c>
      <c r="D27">
        <v>9</v>
      </c>
      <c r="E27">
        <v>26</v>
      </c>
      <c r="F27">
        <v>13</v>
      </c>
      <c r="G27">
        <v>1.3</v>
      </c>
      <c r="H27" t="s">
        <v>33</v>
      </c>
      <c r="I27" t="s">
        <v>26</v>
      </c>
      <c r="J27" s="1">
        <v>45312</v>
      </c>
      <c r="K27">
        <v>46910</v>
      </c>
    </row>
    <row r="28" spans="1:11" x14ac:dyDescent="0.2">
      <c r="A28" t="s">
        <v>50</v>
      </c>
      <c r="B28">
        <v>45</v>
      </c>
      <c r="C28" t="s">
        <v>16</v>
      </c>
      <c r="D28">
        <v>11</v>
      </c>
      <c r="E28">
        <v>0</v>
      </c>
      <c r="F28">
        <v>52</v>
      </c>
      <c r="G28">
        <v>2.8</v>
      </c>
      <c r="H28" t="s">
        <v>33</v>
      </c>
      <c r="I28" t="s">
        <v>34</v>
      </c>
      <c r="J28" s="1">
        <v>45299</v>
      </c>
      <c r="K28">
        <v>87114</v>
      </c>
    </row>
    <row r="29" spans="1:11" x14ac:dyDescent="0.2">
      <c r="A29" t="s">
        <v>51</v>
      </c>
      <c r="B29">
        <v>35</v>
      </c>
      <c r="C29" t="s">
        <v>12</v>
      </c>
      <c r="D29">
        <v>17</v>
      </c>
      <c r="E29">
        <v>26</v>
      </c>
      <c r="F29">
        <v>81</v>
      </c>
      <c r="G29">
        <v>3.9</v>
      </c>
      <c r="H29" t="s">
        <v>33</v>
      </c>
      <c r="I29" t="s">
        <v>18</v>
      </c>
      <c r="J29" s="1">
        <v>45302</v>
      </c>
      <c r="K29">
        <v>119895</v>
      </c>
    </row>
    <row r="30" spans="1:11" x14ac:dyDescent="0.2">
      <c r="A30" t="s">
        <v>52</v>
      </c>
      <c r="B30">
        <v>33</v>
      </c>
      <c r="C30" t="s">
        <v>12</v>
      </c>
      <c r="D30">
        <v>17</v>
      </c>
      <c r="E30">
        <v>84</v>
      </c>
      <c r="F30">
        <v>69</v>
      </c>
      <c r="G30">
        <v>1.2</v>
      </c>
      <c r="H30" t="s">
        <v>25</v>
      </c>
      <c r="I30" t="s">
        <v>34</v>
      </c>
      <c r="J30" s="1">
        <v>45298</v>
      </c>
      <c r="K30">
        <v>90885</v>
      </c>
    </row>
    <row r="31" spans="1:11" x14ac:dyDescent="0.2">
      <c r="A31" t="s">
        <v>53</v>
      </c>
      <c r="B31">
        <v>26</v>
      </c>
      <c r="C31" t="s">
        <v>16</v>
      </c>
      <c r="D31">
        <v>7</v>
      </c>
      <c r="E31">
        <v>86</v>
      </c>
      <c r="F31">
        <v>51</v>
      </c>
      <c r="G31">
        <v>4.2</v>
      </c>
      <c r="H31" t="s">
        <v>17</v>
      </c>
      <c r="I31" t="s">
        <v>26</v>
      </c>
      <c r="J31" s="1">
        <v>45309</v>
      </c>
      <c r="K31">
        <v>47188</v>
      </c>
    </row>
    <row r="32" spans="1:11" x14ac:dyDescent="0.2">
      <c r="A32" t="s">
        <v>54</v>
      </c>
      <c r="B32">
        <v>29</v>
      </c>
      <c r="C32" t="s">
        <v>12</v>
      </c>
      <c r="D32">
        <v>5</v>
      </c>
      <c r="E32">
        <v>93</v>
      </c>
      <c r="F32">
        <v>94</v>
      </c>
      <c r="G32">
        <v>4.9000000000000004</v>
      </c>
      <c r="H32" t="s">
        <v>13</v>
      </c>
      <c r="I32" t="s">
        <v>26</v>
      </c>
      <c r="J32" s="1">
        <v>45309</v>
      </c>
      <c r="K32">
        <v>57478</v>
      </c>
    </row>
    <row r="33" spans="1:11" x14ac:dyDescent="0.2">
      <c r="A33" t="s">
        <v>55</v>
      </c>
      <c r="B33">
        <v>25</v>
      </c>
      <c r="C33" t="s">
        <v>16</v>
      </c>
      <c r="D33">
        <v>3</v>
      </c>
      <c r="E33">
        <v>15</v>
      </c>
      <c r="F33">
        <v>99</v>
      </c>
      <c r="G33">
        <v>2.8</v>
      </c>
      <c r="H33" t="s">
        <v>13</v>
      </c>
      <c r="I33" t="s">
        <v>26</v>
      </c>
      <c r="J33" s="1">
        <v>45310</v>
      </c>
      <c r="K33">
        <v>47322</v>
      </c>
    </row>
    <row r="34" spans="1:11" x14ac:dyDescent="0.2">
      <c r="A34" t="s">
        <v>56</v>
      </c>
      <c r="B34">
        <v>26</v>
      </c>
      <c r="C34" t="s">
        <v>12</v>
      </c>
      <c r="D34">
        <v>10</v>
      </c>
      <c r="E34">
        <v>95</v>
      </c>
      <c r="F34">
        <v>100</v>
      </c>
      <c r="G34">
        <v>1.5</v>
      </c>
      <c r="H34" t="s">
        <v>17</v>
      </c>
      <c r="I34" t="s">
        <v>26</v>
      </c>
      <c r="J34" s="1">
        <v>45312</v>
      </c>
      <c r="K34">
        <v>59502</v>
      </c>
    </row>
    <row r="35" spans="1:11" x14ac:dyDescent="0.2">
      <c r="A35" t="s">
        <v>57</v>
      </c>
      <c r="B35">
        <v>26</v>
      </c>
      <c r="C35" t="s">
        <v>16</v>
      </c>
      <c r="D35">
        <v>3</v>
      </c>
      <c r="E35">
        <v>0</v>
      </c>
      <c r="F35">
        <v>35</v>
      </c>
      <c r="G35">
        <v>1.3</v>
      </c>
      <c r="H35" t="s">
        <v>13</v>
      </c>
      <c r="I35" t="s">
        <v>21</v>
      </c>
      <c r="J35" s="1">
        <v>45312</v>
      </c>
      <c r="K35">
        <v>30509</v>
      </c>
    </row>
    <row r="36" spans="1:11" x14ac:dyDescent="0.2">
      <c r="A36" t="s">
        <v>58</v>
      </c>
      <c r="B36">
        <v>34</v>
      </c>
      <c r="C36" t="s">
        <v>16</v>
      </c>
      <c r="D36">
        <v>13</v>
      </c>
      <c r="E36">
        <v>37</v>
      </c>
      <c r="F36">
        <v>37</v>
      </c>
      <c r="G36">
        <v>1.4</v>
      </c>
      <c r="H36" t="s">
        <v>25</v>
      </c>
      <c r="I36" t="s">
        <v>23</v>
      </c>
      <c r="J36" s="1">
        <v>45297</v>
      </c>
      <c r="K36">
        <v>93896</v>
      </c>
    </row>
    <row r="37" spans="1:11" x14ac:dyDescent="0.2">
      <c r="A37" t="s">
        <v>59</v>
      </c>
      <c r="B37">
        <v>34</v>
      </c>
      <c r="C37" t="s">
        <v>12</v>
      </c>
      <c r="D37">
        <v>9</v>
      </c>
      <c r="E37">
        <v>47</v>
      </c>
      <c r="F37">
        <v>56</v>
      </c>
      <c r="G37">
        <v>4.0999999999999996</v>
      </c>
      <c r="H37" t="s">
        <v>13</v>
      </c>
      <c r="I37" t="s">
        <v>14</v>
      </c>
      <c r="J37" s="1">
        <v>45310</v>
      </c>
      <c r="K37">
        <v>71558</v>
      </c>
    </row>
    <row r="38" spans="1:11" x14ac:dyDescent="0.2">
      <c r="A38" t="s">
        <v>60</v>
      </c>
      <c r="B38">
        <v>33</v>
      </c>
      <c r="C38" t="s">
        <v>12</v>
      </c>
      <c r="D38">
        <v>14</v>
      </c>
      <c r="E38">
        <v>88</v>
      </c>
      <c r="F38">
        <v>47</v>
      </c>
      <c r="G38">
        <v>2.7</v>
      </c>
      <c r="H38" t="s">
        <v>17</v>
      </c>
      <c r="I38" t="s">
        <v>34</v>
      </c>
      <c r="J38" s="1">
        <v>45302</v>
      </c>
      <c r="K38">
        <v>87041</v>
      </c>
    </row>
    <row r="39" spans="1:11" x14ac:dyDescent="0.2">
      <c r="A39" t="s">
        <v>61</v>
      </c>
      <c r="B39">
        <v>58</v>
      </c>
      <c r="C39" t="s">
        <v>16</v>
      </c>
      <c r="D39">
        <v>19</v>
      </c>
      <c r="E39">
        <v>3</v>
      </c>
      <c r="F39">
        <v>72</v>
      </c>
      <c r="G39">
        <v>4.7</v>
      </c>
      <c r="H39" t="s">
        <v>17</v>
      </c>
      <c r="I39" t="s">
        <v>18</v>
      </c>
      <c r="J39" s="1">
        <v>45297</v>
      </c>
      <c r="K39">
        <v>108122</v>
      </c>
    </row>
    <row r="40" spans="1:11" x14ac:dyDescent="0.2">
      <c r="A40" t="s">
        <v>62</v>
      </c>
      <c r="B40">
        <v>42</v>
      </c>
      <c r="C40" t="s">
        <v>16</v>
      </c>
      <c r="D40">
        <v>23</v>
      </c>
      <c r="E40">
        <v>77</v>
      </c>
      <c r="F40">
        <v>80</v>
      </c>
      <c r="G40">
        <v>2.8</v>
      </c>
      <c r="H40" t="s">
        <v>25</v>
      </c>
      <c r="I40" t="s">
        <v>18</v>
      </c>
      <c r="J40" s="1">
        <v>45292</v>
      </c>
      <c r="K40">
        <v>101041</v>
      </c>
    </row>
    <row r="41" spans="1:11" x14ac:dyDescent="0.2">
      <c r="A41" t="s">
        <v>63</v>
      </c>
      <c r="B41">
        <v>44</v>
      </c>
      <c r="C41" t="s">
        <v>16</v>
      </c>
      <c r="D41">
        <v>11</v>
      </c>
      <c r="E41">
        <v>29</v>
      </c>
      <c r="F41">
        <v>17</v>
      </c>
      <c r="G41">
        <v>1.3</v>
      </c>
      <c r="H41" t="s">
        <v>17</v>
      </c>
      <c r="I41" t="s">
        <v>34</v>
      </c>
      <c r="J41" s="1">
        <v>45305</v>
      </c>
      <c r="K41">
        <v>90310</v>
      </c>
    </row>
    <row r="42" spans="1:11" x14ac:dyDescent="0.2">
      <c r="A42" t="s">
        <v>64</v>
      </c>
      <c r="B42">
        <v>39</v>
      </c>
      <c r="C42" t="s">
        <v>16</v>
      </c>
      <c r="D42">
        <v>15</v>
      </c>
      <c r="E42">
        <v>18</v>
      </c>
      <c r="F42">
        <v>20</v>
      </c>
      <c r="G42">
        <v>2.7</v>
      </c>
      <c r="H42" t="s">
        <v>25</v>
      </c>
      <c r="I42" t="s">
        <v>23</v>
      </c>
      <c r="J42" s="1">
        <v>45296</v>
      </c>
      <c r="K42">
        <v>98912</v>
      </c>
    </row>
    <row r="43" spans="1:11" x14ac:dyDescent="0.2">
      <c r="A43" t="s">
        <v>65</v>
      </c>
      <c r="B43">
        <v>25</v>
      </c>
      <c r="C43" t="s">
        <v>12</v>
      </c>
      <c r="D43">
        <v>11</v>
      </c>
      <c r="E43">
        <v>23</v>
      </c>
      <c r="F43">
        <v>15</v>
      </c>
      <c r="G43">
        <v>4</v>
      </c>
      <c r="H43" t="s">
        <v>33</v>
      </c>
      <c r="I43" t="s">
        <v>14</v>
      </c>
      <c r="J43" s="1">
        <v>45307</v>
      </c>
      <c r="K43">
        <v>64328</v>
      </c>
    </row>
    <row r="44" spans="1:11" x14ac:dyDescent="0.2">
      <c r="A44" t="s">
        <v>66</v>
      </c>
      <c r="B44">
        <v>44</v>
      </c>
      <c r="C44" t="s">
        <v>16</v>
      </c>
      <c r="D44">
        <v>15</v>
      </c>
      <c r="E44">
        <v>58</v>
      </c>
      <c r="F44">
        <v>89</v>
      </c>
      <c r="G44">
        <v>4.3</v>
      </c>
      <c r="H44" t="s">
        <v>25</v>
      </c>
      <c r="I44" t="s">
        <v>23</v>
      </c>
      <c r="J44" s="1">
        <v>45295</v>
      </c>
      <c r="K44">
        <v>102592</v>
      </c>
    </row>
    <row r="45" spans="1:11" x14ac:dyDescent="0.2">
      <c r="A45" t="s">
        <v>67</v>
      </c>
      <c r="B45">
        <v>28</v>
      </c>
      <c r="C45" t="s">
        <v>12</v>
      </c>
      <c r="D45">
        <v>5</v>
      </c>
      <c r="E45">
        <v>14</v>
      </c>
      <c r="F45">
        <v>15</v>
      </c>
      <c r="G45">
        <v>1.2</v>
      </c>
      <c r="H45" t="s">
        <v>29</v>
      </c>
      <c r="I45" t="s">
        <v>14</v>
      </c>
      <c r="J45" s="1">
        <v>45311</v>
      </c>
      <c r="K45">
        <v>61891</v>
      </c>
    </row>
    <row r="46" spans="1:11" x14ac:dyDescent="0.2">
      <c r="A46" t="s">
        <v>68</v>
      </c>
      <c r="B46">
        <v>25</v>
      </c>
      <c r="C46" t="s">
        <v>12</v>
      </c>
      <c r="D46">
        <v>5</v>
      </c>
      <c r="E46">
        <v>61</v>
      </c>
      <c r="F46">
        <v>48</v>
      </c>
      <c r="G46">
        <v>1.7</v>
      </c>
      <c r="H46" t="s">
        <v>33</v>
      </c>
      <c r="I46" t="s">
        <v>14</v>
      </c>
      <c r="J46" s="1">
        <v>45307</v>
      </c>
      <c r="K46">
        <v>65633</v>
      </c>
    </row>
    <row r="47" spans="1:11" x14ac:dyDescent="0.2">
      <c r="A47" t="s">
        <v>69</v>
      </c>
      <c r="B47">
        <v>29</v>
      </c>
      <c r="C47" t="s">
        <v>12</v>
      </c>
      <c r="D47">
        <v>5</v>
      </c>
      <c r="E47">
        <v>44</v>
      </c>
      <c r="F47">
        <v>51</v>
      </c>
      <c r="G47">
        <v>3</v>
      </c>
      <c r="H47" t="s">
        <v>33</v>
      </c>
      <c r="I47" t="s">
        <v>26</v>
      </c>
      <c r="J47" s="1">
        <v>45310</v>
      </c>
      <c r="K47">
        <v>49778</v>
      </c>
    </row>
    <row r="48" spans="1:11" x14ac:dyDescent="0.2">
      <c r="A48" t="s">
        <v>70</v>
      </c>
      <c r="B48">
        <v>25</v>
      </c>
      <c r="C48" t="s">
        <v>12</v>
      </c>
      <c r="D48">
        <v>5</v>
      </c>
      <c r="E48">
        <v>90</v>
      </c>
      <c r="F48">
        <v>75</v>
      </c>
      <c r="G48">
        <v>1.5</v>
      </c>
      <c r="H48" t="s">
        <v>25</v>
      </c>
      <c r="I48" t="s">
        <v>26</v>
      </c>
      <c r="J48" s="1">
        <v>45309</v>
      </c>
      <c r="K48">
        <v>51123</v>
      </c>
    </row>
    <row r="49" spans="1:11" x14ac:dyDescent="0.2">
      <c r="A49" t="s">
        <v>71</v>
      </c>
      <c r="B49">
        <v>31</v>
      </c>
      <c r="C49" t="s">
        <v>16</v>
      </c>
      <c r="D49">
        <v>14</v>
      </c>
      <c r="E49">
        <v>33</v>
      </c>
      <c r="F49">
        <v>59</v>
      </c>
      <c r="G49">
        <v>4.5</v>
      </c>
      <c r="H49" t="s">
        <v>13</v>
      </c>
      <c r="I49" t="s">
        <v>14</v>
      </c>
      <c r="J49" s="1">
        <v>45310</v>
      </c>
      <c r="K49">
        <v>70095</v>
      </c>
    </row>
    <row r="50" spans="1:11" x14ac:dyDescent="0.2">
      <c r="A50" t="s">
        <v>72</v>
      </c>
      <c r="B50">
        <v>33</v>
      </c>
      <c r="C50" t="s">
        <v>16</v>
      </c>
      <c r="D50">
        <v>7</v>
      </c>
      <c r="E50">
        <v>16</v>
      </c>
      <c r="F50">
        <v>17</v>
      </c>
      <c r="G50">
        <v>4.7</v>
      </c>
      <c r="H50" t="s">
        <v>25</v>
      </c>
      <c r="I50" t="s">
        <v>14</v>
      </c>
      <c r="J50" s="1">
        <v>45310</v>
      </c>
      <c r="K50">
        <v>73157</v>
      </c>
    </row>
    <row r="51" spans="1:11" x14ac:dyDescent="0.2">
      <c r="A51" t="s">
        <v>73</v>
      </c>
      <c r="B51">
        <v>40</v>
      </c>
      <c r="C51" t="s">
        <v>16</v>
      </c>
      <c r="D51">
        <v>16</v>
      </c>
      <c r="E51">
        <v>3</v>
      </c>
      <c r="F51">
        <v>71</v>
      </c>
      <c r="G51">
        <v>2.2999999999999998</v>
      </c>
      <c r="H51" t="s">
        <v>29</v>
      </c>
      <c r="I51" t="s">
        <v>34</v>
      </c>
      <c r="J51" s="1">
        <v>45309</v>
      </c>
      <c r="K51">
        <v>90439</v>
      </c>
    </row>
    <row r="52" spans="1:11" x14ac:dyDescent="0.2">
      <c r="A52" t="s">
        <v>74</v>
      </c>
      <c r="B52">
        <v>23</v>
      </c>
      <c r="C52" t="s">
        <v>12</v>
      </c>
      <c r="D52">
        <v>3</v>
      </c>
      <c r="E52">
        <v>26</v>
      </c>
      <c r="F52">
        <v>85</v>
      </c>
      <c r="G52">
        <v>2.7</v>
      </c>
      <c r="H52" t="s">
        <v>17</v>
      </c>
      <c r="I52" t="s">
        <v>21</v>
      </c>
      <c r="J52" s="1">
        <v>45311</v>
      </c>
      <c r="K52">
        <v>33105</v>
      </c>
    </row>
    <row r="53" spans="1:11" x14ac:dyDescent="0.2">
      <c r="A53" t="s">
        <v>75</v>
      </c>
      <c r="B53">
        <v>42</v>
      </c>
      <c r="C53" t="s">
        <v>12</v>
      </c>
      <c r="D53">
        <v>11</v>
      </c>
      <c r="E53">
        <v>46</v>
      </c>
      <c r="F53">
        <v>38</v>
      </c>
      <c r="G53">
        <v>3.2</v>
      </c>
      <c r="H53" t="s">
        <v>33</v>
      </c>
      <c r="I53" t="s">
        <v>23</v>
      </c>
      <c r="J53" s="1">
        <v>45304</v>
      </c>
      <c r="K53">
        <v>107751</v>
      </c>
    </row>
    <row r="54" spans="1:11" x14ac:dyDescent="0.2">
      <c r="A54" t="s">
        <v>76</v>
      </c>
      <c r="B54">
        <v>26</v>
      </c>
      <c r="C54" t="s">
        <v>12</v>
      </c>
      <c r="D54">
        <v>2</v>
      </c>
      <c r="E54">
        <v>42</v>
      </c>
      <c r="F54">
        <v>45</v>
      </c>
      <c r="G54">
        <v>2.1</v>
      </c>
      <c r="H54" t="s">
        <v>25</v>
      </c>
      <c r="I54" t="s">
        <v>21</v>
      </c>
      <c r="J54" s="1">
        <v>45313</v>
      </c>
      <c r="K54">
        <v>38878</v>
      </c>
    </row>
    <row r="55" spans="1:11" x14ac:dyDescent="0.2">
      <c r="A55" t="s">
        <v>77</v>
      </c>
      <c r="B55">
        <v>44</v>
      </c>
      <c r="C55" t="s">
        <v>12</v>
      </c>
      <c r="D55">
        <v>16</v>
      </c>
      <c r="E55">
        <v>60</v>
      </c>
      <c r="F55">
        <v>80</v>
      </c>
      <c r="G55">
        <v>3.2</v>
      </c>
      <c r="H55" t="s">
        <v>29</v>
      </c>
      <c r="I55" t="s">
        <v>34</v>
      </c>
      <c r="J55" s="1">
        <v>45298</v>
      </c>
      <c r="K55">
        <v>80976</v>
      </c>
    </row>
    <row r="56" spans="1:11" x14ac:dyDescent="0.2">
      <c r="A56" t="s">
        <v>78</v>
      </c>
      <c r="B56">
        <v>45</v>
      </c>
      <c r="C56" t="s">
        <v>12</v>
      </c>
      <c r="D56">
        <v>14</v>
      </c>
      <c r="E56">
        <v>37</v>
      </c>
      <c r="F56">
        <v>60</v>
      </c>
      <c r="G56">
        <v>1.8</v>
      </c>
      <c r="H56" t="s">
        <v>33</v>
      </c>
      <c r="I56" t="s">
        <v>23</v>
      </c>
      <c r="J56" s="1">
        <v>45296</v>
      </c>
      <c r="K56">
        <v>101100</v>
      </c>
    </row>
    <row r="57" spans="1:11" x14ac:dyDescent="0.2">
      <c r="A57" t="s">
        <v>79</v>
      </c>
      <c r="B57">
        <v>38</v>
      </c>
      <c r="C57" t="s">
        <v>12</v>
      </c>
      <c r="D57">
        <v>22</v>
      </c>
      <c r="E57">
        <v>37</v>
      </c>
      <c r="F57">
        <v>95</v>
      </c>
      <c r="G57">
        <v>2.2000000000000002</v>
      </c>
      <c r="H57" t="s">
        <v>33</v>
      </c>
      <c r="I57" t="s">
        <v>18</v>
      </c>
      <c r="J57" s="1">
        <v>45301</v>
      </c>
      <c r="K57">
        <v>116888</v>
      </c>
    </row>
    <row r="58" spans="1:11" x14ac:dyDescent="0.2">
      <c r="A58" t="s">
        <v>80</v>
      </c>
      <c r="B58">
        <v>25</v>
      </c>
      <c r="C58" t="s">
        <v>12</v>
      </c>
      <c r="D58">
        <v>8</v>
      </c>
      <c r="E58">
        <v>70</v>
      </c>
      <c r="F58">
        <v>53</v>
      </c>
      <c r="G58">
        <v>2.8</v>
      </c>
      <c r="H58" t="s">
        <v>25</v>
      </c>
      <c r="I58" t="s">
        <v>26</v>
      </c>
      <c r="J58" s="1">
        <v>45310</v>
      </c>
      <c r="K58">
        <v>54047</v>
      </c>
    </row>
    <row r="59" spans="1:11" x14ac:dyDescent="0.2">
      <c r="A59" t="s">
        <v>81</v>
      </c>
      <c r="B59">
        <v>30</v>
      </c>
      <c r="C59" t="s">
        <v>12</v>
      </c>
      <c r="D59">
        <v>13</v>
      </c>
      <c r="E59">
        <v>81</v>
      </c>
      <c r="F59">
        <v>27</v>
      </c>
      <c r="G59">
        <v>3.4</v>
      </c>
      <c r="H59" t="s">
        <v>29</v>
      </c>
      <c r="I59" t="s">
        <v>34</v>
      </c>
      <c r="J59" s="1">
        <v>45295</v>
      </c>
      <c r="K59">
        <v>80228</v>
      </c>
    </row>
    <row r="60" spans="1:11" x14ac:dyDescent="0.2">
      <c r="A60" t="s">
        <v>82</v>
      </c>
      <c r="B60">
        <v>47</v>
      </c>
      <c r="C60" t="s">
        <v>16</v>
      </c>
      <c r="D60">
        <v>20</v>
      </c>
      <c r="E60">
        <v>41</v>
      </c>
      <c r="F60">
        <v>61</v>
      </c>
      <c r="G60">
        <v>3.1</v>
      </c>
      <c r="H60" t="s">
        <v>29</v>
      </c>
      <c r="I60" t="s">
        <v>23</v>
      </c>
      <c r="J60" s="1">
        <v>45300</v>
      </c>
      <c r="K60">
        <v>95289</v>
      </c>
    </row>
    <row r="61" spans="1:11" x14ac:dyDescent="0.2">
      <c r="A61" t="s">
        <v>83</v>
      </c>
      <c r="B61">
        <v>23</v>
      </c>
      <c r="C61" t="s">
        <v>16</v>
      </c>
      <c r="D61">
        <v>8</v>
      </c>
      <c r="E61">
        <v>23</v>
      </c>
      <c r="F61">
        <v>62</v>
      </c>
      <c r="G61">
        <v>2</v>
      </c>
      <c r="H61" t="s">
        <v>25</v>
      </c>
      <c r="I61" t="s">
        <v>26</v>
      </c>
      <c r="J61" s="1">
        <v>45312</v>
      </c>
      <c r="K61">
        <v>59877</v>
      </c>
    </row>
    <row r="62" spans="1:11" x14ac:dyDescent="0.2">
      <c r="A62" t="s">
        <v>84</v>
      </c>
      <c r="B62">
        <v>30</v>
      </c>
      <c r="C62" t="s">
        <v>12</v>
      </c>
      <c r="D62">
        <v>8</v>
      </c>
      <c r="E62">
        <v>75</v>
      </c>
      <c r="F62">
        <v>88</v>
      </c>
      <c r="G62">
        <v>1.9</v>
      </c>
      <c r="H62" t="s">
        <v>17</v>
      </c>
      <c r="I62" t="s">
        <v>34</v>
      </c>
      <c r="J62" s="1">
        <v>45294</v>
      </c>
      <c r="K62">
        <v>88117</v>
      </c>
    </row>
    <row r="63" spans="1:11" x14ac:dyDescent="0.2">
      <c r="A63" t="s">
        <v>85</v>
      </c>
      <c r="B63">
        <v>35</v>
      </c>
      <c r="C63" t="s">
        <v>12</v>
      </c>
      <c r="D63">
        <v>16</v>
      </c>
      <c r="E63">
        <v>10</v>
      </c>
      <c r="F63">
        <v>64</v>
      </c>
      <c r="G63">
        <v>1.5</v>
      </c>
      <c r="H63" t="s">
        <v>33</v>
      </c>
      <c r="I63" t="s">
        <v>18</v>
      </c>
      <c r="J63" s="2">
        <v>36161</v>
      </c>
      <c r="K63">
        <v>100719</v>
      </c>
    </row>
    <row r="64" spans="1:11" x14ac:dyDescent="0.2">
      <c r="A64" t="s">
        <v>86</v>
      </c>
      <c r="B64">
        <v>28</v>
      </c>
      <c r="C64" t="s">
        <v>16</v>
      </c>
      <c r="D64">
        <v>5</v>
      </c>
      <c r="E64">
        <v>13</v>
      </c>
      <c r="F64">
        <v>40</v>
      </c>
      <c r="G64">
        <v>4.0999999999999996</v>
      </c>
      <c r="H64" t="s">
        <v>17</v>
      </c>
      <c r="I64" t="s">
        <v>14</v>
      </c>
      <c r="J64" s="1">
        <v>45311</v>
      </c>
      <c r="K64">
        <v>70439</v>
      </c>
    </row>
    <row r="65" spans="1:11" x14ac:dyDescent="0.2">
      <c r="A65" t="s">
        <v>87</v>
      </c>
      <c r="B65">
        <v>58</v>
      </c>
      <c r="C65" t="s">
        <v>16</v>
      </c>
      <c r="D65">
        <v>20</v>
      </c>
      <c r="E65">
        <v>68</v>
      </c>
      <c r="F65">
        <v>63</v>
      </c>
      <c r="G65">
        <v>1.4</v>
      </c>
      <c r="H65" t="s">
        <v>33</v>
      </c>
      <c r="I65" t="s">
        <v>18</v>
      </c>
      <c r="J65" s="1">
        <v>45301</v>
      </c>
      <c r="K65">
        <v>108449</v>
      </c>
    </row>
    <row r="66" spans="1:11" x14ac:dyDescent="0.2">
      <c r="A66" t="s">
        <v>88</v>
      </c>
      <c r="B66">
        <v>42</v>
      </c>
      <c r="C66" t="s">
        <v>12</v>
      </c>
      <c r="D66">
        <v>12</v>
      </c>
      <c r="E66">
        <v>74</v>
      </c>
      <c r="F66">
        <v>83</v>
      </c>
      <c r="G66">
        <v>3.9</v>
      </c>
      <c r="H66" t="s">
        <v>29</v>
      </c>
      <c r="I66" t="s">
        <v>23</v>
      </c>
      <c r="J66" s="1">
        <v>45298</v>
      </c>
      <c r="K66">
        <v>100865</v>
      </c>
    </row>
    <row r="67" spans="1:11" x14ac:dyDescent="0.2">
      <c r="A67" t="s">
        <v>89</v>
      </c>
      <c r="B67">
        <v>30</v>
      </c>
      <c r="C67" t="s">
        <v>12</v>
      </c>
      <c r="D67">
        <v>6</v>
      </c>
      <c r="E67">
        <v>39</v>
      </c>
      <c r="F67">
        <v>7</v>
      </c>
      <c r="G67">
        <v>2</v>
      </c>
      <c r="H67" t="s">
        <v>25</v>
      </c>
      <c r="I67" t="s">
        <v>26</v>
      </c>
      <c r="J67" s="1">
        <v>45311</v>
      </c>
      <c r="K67">
        <v>47255</v>
      </c>
    </row>
    <row r="68" spans="1:11" x14ac:dyDescent="0.2">
      <c r="A68" t="s">
        <v>90</v>
      </c>
      <c r="B68">
        <v>24</v>
      </c>
      <c r="C68" t="s">
        <v>16</v>
      </c>
      <c r="D68">
        <v>4</v>
      </c>
      <c r="E68">
        <v>20</v>
      </c>
      <c r="F68">
        <v>56</v>
      </c>
      <c r="G68">
        <v>2.1</v>
      </c>
      <c r="H68" t="s">
        <v>25</v>
      </c>
      <c r="I68" t="s">
        <v>21</v>
      </c>
      <c r="J68" s="1">
        <v>45312</v>
      </c>
      <c r="K68">
        <v>35636</v>
      </c>
    </row>
    <row r="69" spans="1:11" x14ac:dyDescent="0.2">
      <c r="A69" t="s">
        <v>91</v>
      </c>
      <c r="B69">
        <v>41</v>
      </c>
      <c r="C69" t="s">
        <v>16</v>
      </c>
      <c r="D69">
        <v>16</v>
      </c>
      <c r="E69">
        <v>48</v>
      </c>
      <c r="F69">
        <v>38</v>
      </c>
      <c r="G69">
        <v>3.9</v>
      </c>
      <c r="H69" t="s">
        <v>25</v>
      </c>
      <c r="I69" t="s">
        <v>34</v>
      </c>
      <c r="J69" s="1">
        <v>45306</v>
      </c>
      <c r="K69">
        <v>81627</v>
      </c>
    </row>
    <row r="70" spans="1:11" x14ac:dyDescent="0.2">
      <c r="A70" t="s">
        <v>92</v>
      </c>
      <c r="B70">
        <v>41</v>
      </c>
      <c r="C70" t="s">
        <v>12</v>
      </c>
      <c r="D70">
        <v>17</v>
      </c>
      <c r="E70">
        <v>18</v>
      </c>
      <c r="F70">
        <v>18</v>
      </c>
      <c r="G70">
        <v>3.6</v>
      </c>
      <c r="H70" t="s">
        <v>25</v>
      </c>
      <c r="I70" t="s">
        <v>23</v>
      </c>
      <c r="J70" s="1">
        <v>45295</v>
      </c>
      <c r="K70">
        <v>108390</v>
      </c>
    </row>
    <row r="71" spans="1:11" x14ac:dyDescent="0.2">
      <c r="A71" t="s">
        <v>93</v>
      </c>
      <c r="B71">
        <v>25</v>
      </c>
      <c r="C71" t="s">
        <v>16</v>
      </c>
      <c r="D71">
        <v>2</v>
      </c>
      <c r="E71">
        <v>16</v>
      </c>
      <c r="F71">
        <v>95</v>
      </c>
      <c r="G71">
        <v>4</v>
      </c>
      <c r="H71" t="s">
        <v>25</v>
      </c>
      <c r="I71" t="s">
        <v>21</v>
      </c>
      <c r="J71" s="1">
        <v>45313</v>
      </c>
      <c r="K71">
        <v>36842</v>
      </c>
    </row>
    <row r="72" spans="1:11" x14ac:dyDescent="0.2">
      <c r="A72" t="s">
        <v>94</v>
      </c>
      <c r="B72">
        <v>36</v>
      </c>
      <c r="C72" t="s">
        <v>12</v>
      </c>
      <c r="D72">
        <v>16</v>
      </c>
      <c r="E72">
        <v>28</v>
      </c>
      <c r="F72">
        <v>63</v>
      </c>
      <c r="G72">
        <v>3.1</v>
      </c>
      <c r="H72" t="s">
        <v>13</v>
      </c>
      <c r="I72" t="s">
        <v>34</v>
      </c>
      <c r="J72" s="1">
        <v>45308</v>
      </c>
      <c r="K72">
        <v>92954</v>
      </c>
    </row>
    <row r="73" spans="1:11" x14ac:dyDescent="0.2">
      <c r="A73" t="s">
        <v>95</v>
      </c>
      <c r="B73">
        <v>32</v>
      </c>
      <c r="C73" t="s">
        <v>16</v>
      </c>
      <c r="D73">
        <v>16</v>
      </c>
      <c r="E73">
        <v>40</v>
      </c>
      <c r="F73">
        <v>6</v>
      </c>
      <c r="G73">
        <v>4.4000000000000004</v>
      </c>
      <c r="H73" t="s">
        <v>13</v>
      </c>
      <c r="I73" t="s">
        <v>23</v>
      </c>
      <c r="J73" s="1">
        <v>45298</v>
      </c>
      <c r="K73">
        <v>92217</v>
      </c>
    </row>
    <row r="74" spans="1:11" x14ac:dyDescent="0.2">
      <c r="A74" t="s">
        <v>96</v>
      </c>
      <c r="B74">
        <v>25</v>
      </c>
      <c r="C74" t="s">
        <v>12</v>
      </c>
      <c r="D74">
        <v>9</v>
      </c>
      <c r="E74">
        <v>65</v>
      </c>
      <c r="F74">
        <v>79</v>
      </c>
      <c r="G74">
        <v>1.5</v>
      </c>
      <c r="H74" t="s">
        <v>33</v>
      </c>
      <c r="I74" t="s">
        <v>26</v>
      </c>
      <c r="J74" s="1">
        <v>45310</v>
      </c>
      <c r="K74">
        <v>49120</v>
      </c>
    </row>
    <row r="75" spans="1:11" x14ac:dyDescent="0.2">
      <c r="A75" t="s">
        <v>97</v>
      </c>
      <c r="B75">
        <v>34</v>
      </c>
      <c r="C75" t="s">
        <v>12</v>
      </c>
      <c r="D75">
        <v>10</v>
      </c>
      <c r="E75">
        <v>31</v>
      </c>
      <c r="F75">
        <v>27</v>
      </c>
      <c r="G75">
        <v>3.6</v>
      </c>
      <c r="H75" t="s">
        <v>13</v>
      </c>
      <c r="I75" t="s">
        <v>14</v>
      </c>
      <c r="J75" s="1">
        <v>45308</v>
      </c>
      <c r="K75">
        <v>69347</v>
      </c>
    </row>
    <row r="76" spans="1:11" x14ac:dyDescent="0.2">
      <c r="A76" t="s">
        <v>98</v>
      </c>
      <c r="B76">
        <v>26</v>
      </c>
      <c r="C76" t="s">
        <v>16</v>
      </c>
      <c r="D76">
        <v>5</v>
      </c>
      <c r="E76">
        <v>30</v>
      </c>
      <c r="F76">
        <v>3</v>
      </c>
      <c r="G76">
        <v>1.5</v>
      </c>
      <c r="H76" t="s">
        <v>29</v>
      </c>
      <c r="I76" t="s">
        <v>26</v>
      </c>
      <c r="J76" s="1">
        <v>45310</v>
      </c>
      <c r="K76">
        <v>46707</v>
      </c>
    </row>
    <row r="77" spans="1:11" x14ac:dyDescent="0.2">
      <c r="A77" t="s">
        <v>99</v>
      </c>
      <c r="B77">
        <v>36</v>
      </c>
      <c r="C77" t="s">
        <v>12</v>
      </c>
      <c r="D77">
        <v>20</v>
      </c>
      <c r="E77">
        <v>96</v>
      </c>
      <c r="F77">
        <v>45</v>
      </c>
      <c r="G77">
        <v>3.9</v>
      </c>
      <c r="H77" t="s">
        <v>17</v>
      </c>
      <c r="I77" t="s">
        <v>23</v>
      </c>
      <c r="J77" s="1">
        <v>45296</v>
      </c>
      <c r="K77">
        <v>107062</v>
      </c>
    </row>
    <row r="78" spans="1:11" x14ac:dyDescent="0.2">
      <c r="A78" t="s">
        <v>100</v>
      </c>
      <c r="B78">
        <v>22</v>
      </c>
      <c r="C78" t="s">
        <v>12</v>
      </c>
      <c r="D78">
        <v>0</v>
      </c>
      <c r="E78">
        <v>23</v>
      </c>
      <c r="F78">
        <v>60</v>
      </c>
      <c r="G78">
        <v>2.4</v>
      </c>
      <c r="H78" t="s">
        <v>29</v>
      </c>
      <c r="I78" t="s">
        <v>21</v>
      </c>
      <c r="J78" s="1">
        <v>45313</v>
      </c>
      <c r="K78">
        <v>31230</v>
      </c>
    </row>
    <row r="79" spans="1:11" x14ac:dyDescent="0.2">
      <c r="A79" t="s">
        <v>101</v>
      </c>
      <c r="B79">
        <v>29</v>
      </c>
      <c r="C79" t="s">
        <v>12</v>
      </c>
      <c r="D79">
        <v>9</v>
      </c>
      <c r="E79">
        <v>37</v>
      </c>
      <c r="F79">
        <v>50</v>
      </c>
      <c r="G79">
        <v>3.7</v>
      </c>
      <c r="H79" t="s">
        <v>33</v>
      </c>
      <c r="I79" t="s">
        <v>34</v>
      </c>
      <c r="J79" s="1">
        <v>45309</v>
      </c>
      <c r="K79">
        <v>94110</v>
      </c>
    </row>
    <row r="80" spans="1:11" x14ac:dyDescent="0.2">
      <c r="A80" t="s">
        <v>102</v>
      </c>
      <c r="B80">
        <v>51</v>
      </c>
      <c r="C80" t="s">
        <v>12</v>
      </c>
      <c r="D80">
        <v>25</v>
      </c>
      <c r="E80">
        <v>47</v>
      </c>
      <c r="F80">
        <v>1</v>
      </c>
      <c r="G80">
        <v>3.8</v>
      </c>
      <c r="H80" t="s">
        <v>17</v>
      </c>
      <c r="I80" t="s">
        <v>18</v>
      </c>
      <c r="J80" s="1">
        <v>45298</v>
      </c>
      <c r="K80">
        <v>119208</v>
      </c>
    </row>
    <row r="81" spans="1:11" x14ac:dyDescent="0.2">
      <c r="A81" t="s">
        <v>103</v>
      </c>
      <c r="B81">
        <v>30</v>
      </c>
      <c r="C81" t="s">
        <v>16</v>
      </c>
      <c r="D81">
        <v>9</v>
      </c>
      <c r="E81">
        <v>53</v>
      </c>
      <c r="F81">
        <v>67</v>
      </c>
      <c r="G81">
        <v>3.6</v>
      </c>
      <c r="H81" t="s">
        <v>13</v>
      </c>
      <c r="I81" t="s">
        <v>34</v>
      </c>
      <c r="J81" s="1">
        <v>45302</v>
      </c>
      <c r="K81">
        <v>82101</v>
      </c>
    </row>
    <row r="82" spans="1:11" x14ac:dyDescent="0.2">
      <c r="A82" t="s">
        <v>104</v>
      </c>
      <c r="B82">
        <v>57</v>
      </c>
      <c r="C82" t="s">
        <v>16</v>
      </c>
      <c r="D82">
        <v>23</v>
      </c>
      <c r="E82">
        <v>84</v>
      </c>
      <c r="F82">
        <v>8</v>
      </c>
      <c r="G82">
        <v>1.9</v>
      </c>
      <c r="H82" t="s">
        <v>29</v>
      </c>
      <c r="I82" t="s">
        <v>18</v>
      </c>
      <c r="J82" s="1">
        <v>45297</v>
      </c>
      <c r="K82">
        <v>115901</v>
      </c>
    </row>
    <row r="83" spans="1:11" x14ac:dyDescent="0.2">
      <c r="A83" t="s">
        <v>105</v>
      </c>
      <c r="B83">
        <v>42</v>
      </c>
      <c r="C83" t="s">
        <v>16</v>
      </c>
      <c r="D83">
        <v>8</v>
      </c>
      <c r="E83">
        <v>5</v>
      </c>
      <c r="F83">
        <v>87</v>
      </c>
      <c r="G83">
        <v>4.3</v>
      </c>
      <c r="H83" t="s">
        <v>25</v>
      </c>
      <c r="I83" t="s">
        <v>34</v>
      </c>
      <c r="J83" s="1">
        <v>45300</v>
      </c>
      <c r="K83">
        <v>80567</v>
      </c>
    </row>
    <row r="84" spans="1:11" x14ac:dyDescent="0.2">
      <c r="A84" t="s">
        <v>106</v>
      </c>
      <c r="B84">
        <v>28</v>
      </c>
      <c r="C84" t="s">
        <v>12</v>
      </c>
      <c r="D84">
        <v>15</v>
      </c>
      <c r="E84">
        <v>16</v>
      </c>
      <c r="F84">
        <v>10</v>
      </c>
      <c r="G84">
        <v>2</v>
      </c>
      <c r="H84" t="s">
        <v>17</v>
      </c>
      <c r="I84" t="s">
        <v>14</v>
      </c>
      <c r="J84" s="1">
        <v>45310</v>
      </c>
      <c r="K84">
        <v>68523</v>
      </c>
    </row>
    <row r="85" spans="1:11" x14ac:dyDescent="0.2">
      <c r="A85" t="s">
        <v>107</v>
      </c>
      <c r="B85">
        <v>49</v>
      </c>
      <c r="C85" t="s">
        <v>16</v>
      </c>
      <c r="D85">
        <v>24</v>
      </c>
      <c r="E85">
        <v>76</v>
      </c>
      <c r="F85">
        <v>87</v>
      </c>
      <c r="G85">
        <v>3.1</v>
      </c>
      <c r="H85" t="s">
        <v>13</v>
      </c>
      <c r="I85" t="s">
        <v>18</v>
      </c>
      <c r="J85" s="2">
        <v>35796</v>
      </c>
      <c r="K85">
        <v>107320</v>
      </c>
    </row>
    <row r="86" spans="1:11" x14ac:dyDescent="0.2">
      <c r="A86" t="s">
        <v>108</v>
      </c>
      <c r="B86">
        <v>57</v>
      </c>
      <c r="C86" t="s">
        <v>16</v>
      </c>
      <c r="D86">
        <v>23</v>
      </c>
      <c r="E86">
        <v>2</v>
      </c>
      <c r="F86">
        <v>94</v>
      </c>
      <c r="G86">
        <v>3.7</v>
      </c>
      <c r="H86" t="s">
        <v>25</v>
      </c>
      <c r="I86" t="s">
        <v>18</v>
      </c>
      <c r="J86" s="2">
        <v>36161</v>
      </c>
      <c r="K86">
        <v>111381</v>
      </c>
    </row>
    <row r="87" spans="1:11" x14ac:dyDescent="0.2">
      <c r="A87" t="s">
        <v>109</v>
      </c>
      <c r="B87">
        <v>59</v>
      </c>
      <c r="C87" t="s">
        <v>16</v>
      </c>
      <c r="D87">
        <v>20</v>
      </c>
      <c r="E87">
        <v>50</v>
      </c>
      <c r="F87">
        <v>85</v>
      </c>
      <c r="G87">
        <v>1.9</v>
      </c>
      <c r="H87" t="s">
        <v>33</v>
      </c>
      <c r="I87" t="s">
        <v>18</v>
      </c>
      <c r="J87" s="1">
        <v>45305</v>
      </c>
      <c r="K87">
        <v>103172</v>
      </c>
    </row>
    <row r="88" spans="1:11" x14ac:dyDescent="0.2">
      <c r="A88" t="s">
        <v>110</v>
      </c>
      <c r="B88">
        <v>23</v>
      </c>
      <c r="C88" t="s">
        <v>16</v>
      </c>
      <c r="D88">
        <v>5</v>
      </c>
      <c r="E88">
        <v>9</v>
      </c>
      <c r="F88">
        <v>50</v>
      </c>
      <c r="G88">
        <v>3.5</v>
      </c>
      <c r="H88" t="s">
        <v>29</v>
      </c>
      <c r="I88" t="s">
        <v>21</v>
      </c>
      <c r="J88" s="1">
        <v>45311</v>
      </c>
      <c r="K88">
        <v>39138</v>
      </c>
    </row>
    <row r="89" spans="1:11" x14ac:dyDescent="0.2">
      <c r="A89" t="s">
        <v>111</v>
      </c>
      <c r="B89">
        <v>44</v>
      </c>
      <c r="C89" t="s">
        <v>12</v>
      </c>
      <c r="D89">
        <v>17</v>
      </c>
      <c r="E89">
        <v>89</v>
      </c>
      <c r="F89">
        <v>0</v>
      </c>
      <c r="G89">
        <v>2.1</v>
      </c>
      <c r="H89" t="s">
        <v>17</v>
      </c>
      <c r="I89" t="s">
        <v>34</v>
      </c>
      <c r="J89" s="1">
        <v>45294</v>
      </c>
      <c r="K89">
        <v>93702</v>
      </c>
    </row>
    <row r="90" spans="1:11" x14ac:dyDescent="0.2">
      <c r="A90" t="s">
        <v>112</v>
      </c>
      <c r="B90">
        <v>29</v>
      </c>
      <c r="C90" t="s">
        <v>12</v>
      </c>
      <c r="D90">
        <v>6</v>
      </c>
      <c r="E90">
        <v>9</v>
      </c>
      <c r="F90">
        <v>46</v>
      </c>
      <c r="G90">
        <v>1.7</v>
      </c>
      <c r="H90" t="s">
        <v>33</v>
      </c>
      <c r="I90" t="s">
        <v>14</v>
      </c>
      <c r="J90" s="1">
        <v>45309</v>
      </c>
      <c r="K90">
        <v>71589</v>
      </c>
    </row>
    <row r="91" spans="1:11" x14ac:dyDescent="0.2">
      <c r="A91" t="s">
        <v>113</v>
      </c>
      <c r="B91">
        <v>28</v>
      </c>
      <c r="C91" t="s">
        <v>16</v>
      </c>
      <c r="D91">
        <v>17</v>
      </c>
      <c r="E91">
        <v>16</v>
      </c>
      <c r="F91">
        <v>5</v>
      </c>
      <c r="G91">
        <v>4.2</v>
      </c>
      <c r="H91" t="s">
        <v>13</v>
      </c>
      <c r="I91" t="s">
        <v>34</v>
      </c>
      <c r="J91" s="1">
        <v>45298</v>
      </c>
      <c r="K91">
        <v>83554</v>
      </c>
    </row>
    <row r="92" spans="1:11" x14ac:dyDescent="0.2">
      <c r="A92" t="s">
        <v>114</v>
      </c>
      <c r="B92">
        <v>26</v>
      </c>
      <c r="C92" t="s">
        <v>16</v>
      </c>
      <c r="D92">
        <v>1</v>
      </c>
      <c r="E92">
        <v>53</v>
      </c>
      <c r="F92">
        <v>14</v>
      </c>
      <c r="G92">
        <v>3.2</v>
      </c>
      <c r="H92" t="s">
        <v>25</v>
      </c>
      <c r="I92" t="s">
        <v>21</v>
      </c>
      <c r="J92" s="1">
        <v>45311</v>
      </c>
      <c r="K92">
        <v>32903</v>
      </c>
    </row>
    <row r="93" spans="1:11" x14ac:dyDescent="0.2">
      <c r="A93" t="s">
        <v>115</v>
      </c>
      <c r="B93">
        <v>27</v>
      </c>
      <c r="C93" t="s">
        <v>12</v>
      </c>
      <c r="D93">
        <v>5</v>
      </c>
      <c r="E93">
        <v>38</v>
      </c>
      <c r="F93">
        <v>79</v>
      </c>
      <c r="G93">
        <v>2.2999999999999998</v>
      </c>
      <c r="H93" t="s">
        <v>29</v>
      </c>
      <c r="I93" t="s">
        <v>14</v>
      </c>
      <c r="J93" s="1">
        <v>45311</v>
      </c>
      <c r="K93">
        <v>71365</v>
      </c>
    </row>
    <row r="94" spans="1:11" x14ac:dyDescent="0.2">
      <c r="A94" t="s">
        <v>116</v>
      </c>
      <c r="B94">
        <v>24</v>
      </c>
      <c r="C94" t="s">
        <v>12</v>
      </c>
      <c r="D94">
        <v>0</v>
      </c>
      <c r="E94">
        <v>70</v>
      </c>
      <c r="F94">
        <v>0</v>
      </c>
      <c r="G94">
        <v>3.3</v>
      </c>
      <c r="H94" t="s">
        <v>33</v>
      </c>
      <c r="I94" t="s">
        <v>21</v>
      </c>
      <c r="J94" s="1">
        <v>45311</v>
      </c>
      <c r="K94">
        <v>33770</v>
      </c>
    </row>
    <row r="95" spans="1:11" x14ac:dyDescent="0.2">
      <c r="A95" t="s">
        <v>117</v>
      </c>
      <c r="B95">
        <v>39</v>
      </c>
      <c r="C95" t="s">
        <v>12</v>
      </c>
      <c r="D95">
        <v>9</v>
      </c>
      <c r="E95">
        <v>53</v>
      </c>
      <c r="F95">
        <v>34</v>
      </c>
      <c r="G95">
        <v>1.1000000000000001</v>
      </c>
      <c r="H95" t="s">
        <v>29</v>
      </c>
      <c r="I95" t="s">
        <v>34</v>
      </c>
      <c r="J95" s="1">
        <v>45297</v>
      </c>
      <c r="K95">
        <v>86537</v>
      </c>
    </row>
    <row r="96" spans="1:11" x14ac:dyDescent="0.2">
      <c r="A96" t="s">
        <v>118</v>
      </c>
      <c r="B96">
        <v>30</v>
      </c>
      <c r="C96" t="s">
        <v>16</v>
      </c>
      <c r="D96">
        <v>9</v>
      </c>
      <c r="E96">
        <v>94</v>
      </c>
      <c r="F96">
        <v>81</v>
      </c>
      <c r="G96">
        <v>1.5</v>
      </c>
      <c r="H96" t="s">
        <v>17</v>
      </c>
      <c r="I96" t="s">
        <v>14</v>
      </c>
      <c r="J96" s="1">
        <v>45309</v>
      </c>
      <c r="K96">
        <v>63299</v>
      </c>
    </row>
    <row r="97" spans="1:11" x14ac:dyDescent="0.2">
      <c r="A97" t="s">
        <v>119</v>
      </c>
      <c r="B97">
        <v>27</v>
      </c>
      <c r="C97" t="s">
        <v>16</v>
      </c>
      <c r="D97">
        <v>3</v>
      </c>
      <c r="E97">
        <v>18</v>
      </c>
      <c r="F97">
        <v>89</v>
      </c>
      <c r="G97">
        <v>2.6</v>
      </c>
      <c r="H97" t="s">
        <v>29</v>
      </c>
      <c r="I97" t="s">
        <v>26</v>
      </c>
      <c r="J97" s="1">
        <v>45309</v>
      </c>
      <c r="K97">
        <v>54974</v>
      </c>
    </row>
    <row r="98" spans="1:11" x14ac:dyDescent="0.2">
      <c r="A98" t="s">
        <v>120</v>
      </c>
      <c r="B98">
        <v>51</v>
      </c>
      <c r="C98" t="s">
        <v>16</v>
      </c>
      <c r="D98">
        <v>24</v>
      </c>
      <c r="E98">
        <v>75</v>
      </c>
      <c r="F98">
        <v>37</v>
      </c>
      <c r="G98">
        <v>4.9000000000000004</v>
      </c>
      <c r="H98" t="s">
        <v>33</v>
      </c>
      <c r="I98" t="s">
        <v>18</v>
      </c>
      <c r="J98" s="1">
        <v>45299</v>
      </c>
      <c r="K98">
        <v>114384</v>
      </c>
    </row>
    <row r="99" spans="1:11" x14ac:dyDescent="0.2">
      <c r="A99" t="s">
        <v>121</v>
      </c>
      <c r="B99">
        <v>50</v>
      </c>
      <c r="C99" t="s">
        <v>16</v>
      </c>
      <c r="D99">
        <v>16</v>
      </c>
      <c r="E99">
        <v>54</v>
      </c>
      <c r="F99">
        <v>93</v>
      </c>
      <c r="G99">
        <v>3</v>
      </c>
      <c r="H99" t="s">
        <v>17</v>
      </c>
      <c r="I99" t="s">
        <v>23</v>
      </c>
      <c r="J99" s="1">
        <v>45298</v>
      </c>
      <c r="K99">
        <v>101416</v>
      </c>
    </row>
    <row r="100" spans="1:11" x14ac:dyDescent="0.2">
      <c r="A100" t="s">
        <v>122</v>
      </c>
      <c r="B100">
        <v>29</v>
      </c>
      <c r="C100" t="s">
        <v>12</v>
      </c>
      <c r="D100">
        <v>7</v>
      </c>
      <c r="E100">
        <v>38</v>
      </c>
      <c r="F100">
        <v>29</v>
      </c>
      <c r="G100">
        <v>1.3</v>
      </c>
      <c r="H100" t="s">
        <v>33</v>
      </c>
      <c r="I100" t="s">
        <v>14</v>
      </c>
      <c r="J100" s="1">
        <v>45309</v>
      </c>
      <c r="K100">
        <v>62588</v>
      </c>
    </row>
    <row r="101" spans="1:11" x14ac:dyDescent="0.2">
      <c r="A101" t="s">
        <v>123</v>
      </c>
      <c r="B101">
        <v>39</v>
      </c>
      <c r="C101" t="s">
        <v>16</v>
      </c>
      <c r="D101">
        <v>24</v>
      </c>
      <c r="E101">
        <v>81</v>
      </c>
      <c r="F101">
        <v>18</v>
      </c>
      <c r="G101">
        <v>4.0999999999999996</v>
      </c>
      <c r="H101" t="s">
        <v>33</v>
      </c>
      <c r="I101" t="s">
        <v>18</v>
      </c>
      <c r="J101" s="1">
        <v>45307</v>
      </c>
      <c r="K101">
        <v>108820</v>
      </c>
    </row>
    <row r="102" spans="1:11" x14ac:dyDescent="0.2">
      <c r="A102" t="s">
        <v>124</v>
      </c>
      <c r="B102">
        <v>30</v>
      </c>
      <c r="C102" t="s">
        <v>12</v>
      </c>
      <c r="D102">
        <v>19</v>
      </c>
      <c r="E102">
        <v>45</v>
      </c>
      <c r="F102">
        <v>96</v>
      </c>
      <c r="G102">
        <v>4.0999999999999996</v>
      </c>
      <c r="H102" t="s">
        <v>33</v>
      </c>
      <c r="I102" t="s">
        <v>23</v>
      </c>
      <c r="J102" s="1">
        <v>45296</v>
      </c>
      <c r="K102">
        <v>101420</v>
      </c>
    </row>
    <row r="103" spans="1:11" x14ac:dyDescent="0.2">
      <c r="A103" t="s">
        <v>125</v>
      </c>
      <c r="B103">
        <v>30</v>
      </c>
      <c r="C103" t="s">
        <v>12</v>
      </c>
      <c r="D103">
        <v>10</v>
      </c>
      <c r="E103">
        <v>10</v>
      </c>
      <c r="F103">
        <v>73</v>
      </c>
      <c r="G103">
        <v>4.0999999999999996</v>
      </c>
      <c r="H103" t="s">
        <v>13</v>
      </c>
      <c r="I103" t="s">
        <v>26</v>
      </c>
      <c r="J103" s="1">
        <v>45309</v>
      </c>
      <c r="K103">
        <v>53966</v>
      </c>
    </row>
    <row r="104" spans="1:11" x14ac:dyDescent="0.2">
      <c r="A104" t="s">
        <v>126</v>
      </c>
      <c r="B104">
        <v>36</v>
      </c>
      <c r="C104" t="s">
        <v>16</v>
      </c>
      <c r="D104">
        <v>13</v>
      </c>
      <c r="E104">
        <v>31</v>
      </c>
      <c r="F104">
        <v>36</v>
      </c>
      <c r="G104">
        <v>3.3</v>
      </c>
      <c r="H104" t="s">
        <v>13</v>
      </c>
      <c r="I104" t="s">
        <v>23</v>
      </c>
      <c r="J104" s="1">
        <v>45305</v>
      </c>
      <c r="K104">
        <v>96579</v>
      </c>
    </row>
    <row r="105" spans="1:11" x14ac:dyDescent="0.2">
      <c r="A105" t="s">
        <v>127</v>
      </c>
      <c r="B105">
        <v>54</v>
      </c>
      <c r="C105" t="s">
        <v>12</v>
      </c>
      <c r="D105">
        <v>19</v>
      </c>
      <c r="E105">
        <v>56</v>
      </c>
      <c r="F105">
        <v>24</v>
      </c>
      <c r="G105">
        <v>3.8</v>
      </c>
      <c r="H105" t="s">
        <v>25</v>
      </c>
      <c r="I105" t="s">
        <v>18</v>
      </c>
      <c r="J105" s="1">
        <v>45295</v>
      </c>
      <c r="K105">
        <v>107080</v>
      </c>
    </row>
    <row r="106" spans="1:11" x14ac:dyDescent="0.2">
      <c r="A106" t="s">
        <v>128</v>
      </c>
      <c r="B106">
        <v>31</v>
      </c>
      <c r="C106" t="s">
        <v>12</v>
      </c>
      <c r="D106">
        <v>9</v>
      </c>
      <c r="E106">
        <v>80</v>
      </c>
      <c r="F106">
        <v>13</v>
      </c>
      <c r="G106">
        <v>1.9</v>
      </c>
      <c r="H106" t="s">
        <v>25</v>
      </c>
      <c r="I106" t="s">
        <v>14</v>
      </c>
      <c r="J106" s="1">
        <v>45309</v>
      </c>
      <c r="K106">
        <v>67630</v>
      </c>
    </row>
    <row r="107" spans="1:11" x14ac:dyDescent="0.2">
      <c r="A107" t="s">
        <v>129</v>
      </c>
      <c r="B107">
        <v>38</v>
      </c>
      <c r="C107" t="s">
        <v>16</v>
      </c>
      <c r="D107">
        <v>10</v>
      </c>
      <c r="E107">
        <v>47</v>
      </c>
      <c r="F107">
        <v>55</v>
      </c>
      <c r="G107">
        <v>3.9</v>
      </c>
      <c r="H107" t="s">
        <v>25</v>
      </c>
      <c r="I107" t="s">
        <v>34</v>
      </c>
      <c r="J107" s="1">
        <v>45308</v>
      </c>
      <c r="K107">
        <v>93569</v>
      </c>
    </row>
    <row r="108" spans="1:11" x14ac:dyDescent="0.2">
      <c r="A108" t="s">
        <v>130</v>
      </c>
      <c r="B108">
        <v>45</v>
      </c>
      <c r="C108" t="s">
        <v>16</v>
      </c>
      <c r="D108">
        <v>12</v>
      </c>
      <c r="E108">
        <v>81</v>
      </c>
      <c r="F108">
        <v>58</v>
      </c>
      <c r="G108">
        <v>4.3</v>
      </c>
      <c r="H108" t="s">
        <v>17</v>
      </c>
      <c r="I108" t="s">
        <v>23</v>
      </c>
      <c r="J108" s="1">
        <v>45304</v>
      </c>
      <c r="K108">
        <v>100280</v>
      </c>
    </row>
    <row r="109" spans="1:11" x14ac:dyDescent="0.2">
      <c r="A109" t="s">
        <v>131</v>
      </c>
      <c r="B109">
        <v>44</v>
      </c>
      <c r="C109" t="s">
        <v>16</v>
      </c>
      <c r="D109">
        <v>24</v>
      </c>
      <c r="E109">
        <v>67</v>
      </c>
      <c r="F109">
        <v>91</v>
      </c>
      <c r="G109">
        <v>4</v>
      </c>
      <c r="H109" t="s">
        <v>13</v>
      </c>
      <c r="I109" t="s">
        <v>18</v>
      </c>
      <c r="J109" s="1">
        <v>45304</v>
      </c>
      <c r="K109">
        <v>104209</v>
      </c>
    </row>
    <row r="110" spans="1:11" x14ac:dyDescent="0.2">
      <c r="A110" t="s">
        <v>132</v>
      </c>
      <c r="B110">
        <v>25</v>
      </c>
      <c r="C110" t="s">
        <v>12</v>
      </c>
      <c r="D110">
        <v>1</v>
      </c>
      <c r="E110">
        <v>7</v>
      </c>
      <c r="F110">
        <v>42</v>
      </c>
      <c r="G110">
        <v>2.4</v>
      </c>
      <c r="H110" t="s">
        <v>25</v>
      </c>
      <c r="I110" t="s">
        <v>21</v>
      </c>
      <c r="J110" s="1">
        <v>45312</v>
      </c>
      <c r="K110">
        <v>34535</v>
      </c>
    </row>
    <row r="111" spans="1:11" x14ac:dyDescent="0.2">
      <c r="A111" t="s">
        <v>133</v>
      </c>
      <c r="B111">
        <v>25</v>
      </c>
      <c r="C111" t="s">
        <v>16</v>
      </c>
      <c r="D111">
        <v>4</v>
      </c>
      <c r="E111">
        <v>48</v>
      </c>
      <c r="F111">
        <v>49</v>
      </c>
      <c r="G111">
        <v>3.4</v>
      </c>
      <c r="H111" t="s">
        <v>25</v>
      </c>
      <c r="I111" t="s">
        <v>26</v>
      </c>
      <c r="J111" s="1">
        <v>45309</v>
      </c>
      <c r="K111">
        <v>54193</v>
      </c>
    </row>
    <row r="112" spans="1:11" x14ac:dyDescent="0.2">
      <c r="A112" t="s">
        <v>134</v>
      </c>
      <c r="B112">
        <v>50</v>
      </c>
      <c r="C112" t="s">
        <v>12</v>
      </c>
      <c r="D112">
        <v>17</v>
      </c>
      <c r="E112">
        <v>52</v>
      </c>
      <c r="F112">
        <v>21</v>
      </c>
      <c r="G112">
        <v>3.5</v>
      </c>
      <c r="H112" t="s">
        <v>33</v>
      </c>
      <c r="I112" t="s">
        <v>18</v>
      </c>
      <c r="J112" s="2">
        <v>36526</v>
      </c>
      <c r="K112">
        <v>100014</v>
      </c>
    </row>
    <row r="113" spans="1:11" x14ac:dyDescent="0.2">
      <c r="A113" t="s">
        <v>135</v>
      </c>
      <c r="B113">
        <v>27</v>
      </c>
      <c r="C113" t="s">
        <v>16</v>
      </c>
      <c r="D113">
        <v>5</v>
      </c>
      <c r="E113">
        <v>1</v>
      </c>
      <c r="F113">
        <v>42</v>
      </c>
      <c r="G113">
        <v>4.5999999999999996</v>
      </c>
      <c r="H113" t="s">
        <v>33</v>
      </c>
      <c r="I113" t="s">
        <v>26</v>
      </c>
      <c r="J113" s="1">
        <v>45311</v>
      </c>
      <c r="K113">
        <v>46364</v>
      </c>
    </row>
    <row r="114" spans="1:11" x14ac:dyDescent="0.2">
      <c r="A114" t="s">
        <v>136</v>
      </c>
      <c r="B114">
        <v>30</v>
      </c>
      <c r="C114" t="s">
        <v>12</v>
      </c>
      <c r="D114">
        <v>9</v>
      </c>
      <c r="E114">
        <v>53</v>
      </c>
      <c r="F114">
        <v>53</v>
      </c>
      <c r="G114">
        <v>1.4</v>
      </c>
      <c r="H114" t="s">
        <v>33</v>
      </c>
      <c r="I114" t="s">
        <v>14</v>
      </c>
      <c r="J114" s="1">
        <v>45310</v>
      </c>
      <c r="K114">
        <v>70818</v>
      </c>
    </row>
    <row r="115" spans="1:11" x14ac:dyDescent="0.2">
      <c r="A115" t="s">
        <v>137</v>
      </c>
      <c r="B115">
        <v>24</v>
      </c>
      <c r="C115" t="s">
        <v>12</v>
      </c>
      <c r="D115">
        <v>3</v>
      </c>
      <c r="E115">
        <v>93</v>
      </c>
      <c r="F115">
        <v>82</v>
      </c>
      <c r="G115">
        <v>4.3</v>
      </c>
      <c r="H115" t="s">
        <v>25</v>
      </c>
      <c r="I115" t="s">
        <v>21</v>
      </c>
      <c r="J115" s="1">
        <v>45312</v>
      </c>
      <c r="K115">
        <v>35375</v>
      </c>
    </row>
    <row r="116" spans="1:11" x14ac:dyDescent="0.2">
      <c r="A116" t="s">
        <v>138</v>
      </c>
      <c r="B116">
        <v>55</v>
      </c>
      <c r="C116" t="s">
        <v>16</v>
      </c>
      <c r="D116">
        <v>19</v>
      </c>
      <c r="E116">
        <v>41</v>
      </c>
      <c r="F116">
        <v>87</v>
      </c>
      <c r="G116">
        <v>3.1</v>
      </c>
      <c r="H116" t="s">
        <v>25</v>
      </c>
      <c r="I116" t="s">
        <v>18</v>
      </c>
      <c r="J116" s="1">
        <v>45301</v>
      </c>
      <c r="K116">
        <v>110104</v>
      </c>
    </row>
    <row r="117" spans="1:11" x14ac:dyDescent="0.2">
      <c r="A117" t="s">
        <v>139</v>
      </c>
      <c r="B117">
        <v>40</v>
      </c>
      <c r="C117" t="s">
        <v>12</v>
      </c>
      <c r="D117">
        <v>10</v>
      </c>
      <c r="E117">
        <v>56</v>
      </c>
      <c r="F117">
        <v>55</v>
      </c>
      <c r="G117">
        <v>2.4</v>
      </c>
      <c r="H117" t="s">
        <v>29</v>
      </c>
      <c r="I117" t="s">
        <v>34</v>
      </c>
      <c r="J117" s="1">
        <v>45309</v>
      </c>
      <c r="K117">
        <v>94290</v>
      </c>
    </row>
    <row r="118" spans="1:11" x14ac:dyDescent="0.2">
      <c r="A118" t="s">
        <v>140</v>
      </c>
      <c r="B118">
        <v>29</v>
      </c>
      <c r="C118" t="s">
        <v>12</v>
      </c>
      <c r="D118">
        <v>6</v>
      </c>
      <c r="E118">
        <v>26</v>
      </c>
      <c r="F118">
        <v>18</v>
      </c>
      <c r="G118">
        <v>2.8</v>
      </c>
      <c r="H118" t="s">
        <v>13</v>
      </c>
      <c r="I118" t="s">
        <v>26</v>
      </c>
      <c r="J118" s="1">
        <v>45312</v>
      </c>
      <c r="K118">
        <v>56573</v>
      </c>
    </row>
    <row r="119" spans="1:11" x14ac:dyDescent="0.2">
      <c r="A119" t="s">
        <v>141</v>
      </c>
      <c r="B119">
        <v>48</v>
      </c>
      <c r="C119" t="s">
        <v>16</v>
      </c>
      <c r="D119">
        <v>13</v>
      </c>
      <c r="E119">
        <v>47</v>
      </c>
      <c r="F119">
        <v>57</v>
      </c>
      <c r="G119">
        <v>1.1000000000000001</v>
      </c>
      <c r="H119" t="s">
        <v>29</v>
      </c>
      <c r="I119" t="s">
        <v>23</v>
      </c>
      <c r="J119" s="1">
        <v>45296</v>
      </c>
      <c r="K119">
        <v>100592</v>
      </c>
    </row>
    <row r="120" spans="1:11" x14ac:dyDescent="0.2">
      <c r="A120" t="s">
        <v>142</v>
      </c>
      <c r="B120">
        <v>31</v>
      </c>
      <c r="C120" t="s">
        <v>16</v>
      </c>
      <c r="D120">
        <v>6</v>
      </c>
      <c r="E120">
        <v>37</v>
      </c>
      <c r="F120">
        <v>90</v>
      </c>
      <c r="G120">
        <v>1.9</v>
      </c>
      <c r="H120" t="s">
        <v>17</v>
      </c>
      <c r="I120" t="s">
        <v>14</v>
      </c>
      <c r="J120" s="1">
        <v>45308</v>
      </c>
      <c r="K120">
        <v>60575</v>
      </c>
    </row>
    <row r="121" spans="1:11" x14ac:dyDescent="0.2">
      <c r="A121" t="s">
        <v>143</v>
      </c>
      <c r="B121">
        <v>57</v>
      </c>
      <c r="C121" t="s">
        <v>16</v>
      </c>
      <c r="D121">
        <v>17</v>
      </c>
      <c r="E121">
        <v>60</v>
      </c>
      <c r="F121">
        <v>18</v>
      </c>
      <c r="G121">
        <v>3.6</v>
      </c>
      <c r="H121" t="s">
        <v>33</v>
      </c>
      <c r="I121" t="s">
        <v>18</v>
      </c>
      <c r="J121" s="1">
        <v>45293</v>
      </c>
      <c r="K121">
        <v>102771</v>
      </c>
    </row>
    <row r="122" spans="1:11" x14ac:dyDescent="0.2">
      <c r="A122" t="s">
        <v>144</v>
      </c>
      <c r="B122">
        <v>26</v>
      </c>
      <c r="C122" t="s">
        <v>16</v>
      </c>
      <c r="D122">
        <v>5</v>
      </c>
      <c r="E122">
        <v>11</v>
      </c>
      <c r="F122">
        <v>67</v>
      </c>
      <c r="G122">
        <v>3.6</v>
      </c>
      <c r="H122" t="s">
        <v>29</v>
      </c>
      <c r="I122" t="s">
        <v>21</v>
      </c>
      <c r="J122" s="1">
        <v>45313</v>
      </c>
      <c r="K122">
        <v>30231</v>
      </c>
    </row>
    <row r="123" spans="1:11" x14ac:dyDescent="0.2">
      <c r="A123" t="s">
        <v>145</v>
      </c>
      <c r="B123">
        <v>44</v>
      </c>
      <c r="C123" t="s">
        <v>16</v>
      </c>
      <c r="D123">
        <v>21</v>
      </c>
      <c r="E123">
        <v>23</v>
      </c>
      <c r="F123">
        <v>40</v>
      </c>
      <c r="G123">
        <v>3</v>
      </c>
      <c r="H123" t="s">
        <v>33</v>
      </c>
      <c r="I123" t="s">
        <v>18</v>
      </c>
      <c r="J123" s="1">
        <v>45301</v>
      </c>
      <c r="K123">
        <v>109581</v>
      </c>
    </row>
    <row r="124" spans="1:11" x14ac:dyDescent="0.2">
      <c r="A124" t="s">
        <v>146</v>
      </c>
      <c r="B124">
        <v>26</v>
      </c>
      <c r="C124" t="s">
        <v>12</v>
      </c>
      <c r="D124">
        <v>1</v>
      </c>
      <c r="E124">
        <v>13</v>
      </c>
      <c r="F124">
        <v>16</v>
      </c>
      <c r="G124">
        <v>4.8</v>
      </c>
      <c r="H124" t="s">
        <v>13</v>
      </c>
      <c r="I124" t="s">
        <v>21</v>
      </c>
      <c r="J124" s="1">
        <v>45313</v>
      </c>
      <c r="K124">
        <v>31878</v>
      </c>
    </row>
    <row r="125" spans="1:11" x14ac:dyDescent="0.2">
      <c r="A125" t="s">
        <v>147</v>
      </c>
      <c r="B125">
        <v>28</v>
      </c>
      <c r="C125" t="s">
        <v>12</v>
      </c>
      <c r="D125">
        <v>8</v>
      </c>
      <c r="E125">
        <v>35</v>
      </c>
      <c r="F125">
        <v>26</v>
      </c>
      <c r="G125">
        <v>2.9</v>
      </c>
      <c r="H125" t="s">
        <v>25</v>
      </c>
      <c r="I125" t="s">
        <v>14</v>
      </c>
      <c r="J125" s="1">
        <v>45309</v>
      </c>
      <c r="K125">
        <v>62727</v>
      </c>
    </row>
    <row r="126" spans="1:11" x14ac:dyDescent="0.2">
      <c r="A126" t="s">
        <v>148</v>
      </c>
      <c r="B126">
        <v>34</v>
      </c>
      <c r="C126" t="s">
        <v>16</v>
      </c>
      <c r="D126">
        <v>17</v>
      </c>
      <c r="E126">
        <v>14</v>
      </c>
      <c r="F126">
        <v>23</v>
      </c>
      <c r="G126">
        <v>2.2999999999999998</v>
      </c>
      <c r="H126" t="s">
        <v>13</v>
      </c>
      <c r="I126" t="s">
        <v>34</v>
      </c>
      <c r="J126" s="1">
        <v>45298</v>
      </c>
      <c r="K126">
        <v>91663</v>
      </c>
    </row>
    <row r="127" spans="1:11" x14ac:dyDescent="0.2">
      <c r="A127" t="s">
        <v>149</v>
      </c>
      <c r="B127">
        <v>41</v>
      </c>
      <c r="C127" t="s">
        <v>16</v>
      </c>
      <c r="D127">
        <v>8</v>
      </c>
      <c r="E127">
        <v>71</v>
      </c>
      <c r="F127">
        <v>56</v>
      </c>
      <c r="G127">
        <v>4.4000000000000004</v>
      </c>
      <c r="H127" t="s">
        <v>17</v>
      </c>
      <c r="I127" t="s">
        <v>34</v>
      </c>
      <c r="J127" s="1">
        <v>45296</v>
      </c>
      <c r="K127">
        <v>84510</v>
      </c>
    </row>
    <row r="128" spans="1:11" x14ac:dyDescent="0.2">
      <c r="A128" t="s">
        <v>150</v>
      </c>
      <c r="B128">
        <v>28</v>
      </c>
      <c r="C128" t="s">
        <v>16</v>
      </c>
      <c r="D128">
        <v>10</v>
      </c>
      <c r="E128">
        <v>77</v>
      </c>
      <c r="F128">
        <v>44</v>
      </c>
      <c r="G128">
        <v>2</v>
      </c>
      <c r="H128" t="s">
        <v>33</v>
      </c>
      <c r="I128" t="s">
        <v>14</v>
      </c>
      <c r="J128" s="1">
        <v>45308</v>
      </c>
      <c r="K128">
        <v>63299</v>
      </c>
    </row>
    <row r="129" spans="1:11" x14ac:dyDescent="0.2">
      <c r="A129" t="s">
        <v>151</v>
      </c>
      <c r="B129">
        <v>27</v>
      </c>
      <c r="C129" t="s">
        <v>16</v>
      </c>
      <c r="D129">
        <v>10</v>
      </c>
      <c r="E129">
        <v>88</v>
      </c>
      <c r="F129">
        <v>49</v>
      </c>
      <c r="G129">
        <v>3.4</v>
      </c>
      <c r="H129" t="s">
        <v>13</v>
      </c>
      <c r="I129" t="s">
        <v>26</v>
      </c>
      <c r="J129" s="1">
        <v>45310</v>
      </c>
      <c r="K129">
        <v>53400</v>
      </c>
    </row>
    <row r="130" spans="1:11" x14ac:dyDescent="0.2">
      <c r="A130" t="s">
        <v>152</v>
      </c>
      <c r="B130">
        <v>33</v>
      </c>
      <c r="C130" t="s">
        <v>12</v>
      </c>
      <c r="D130">
        <v>15</v>
      </c>
      <c r="E130">
        <v>19</v>
      </c>
      <c r="F130">
        <v>54</v>
      </c>
      <c r="G130">
        <v>3.8</v>
      </c>
      <c r="H130" t="s">
        <v>33</v>
      </c>
      <c r="I130" t="s">
        <v>14</v>
      </c>
      <c r="J130" s="1">
        <v>45307</v>
      </c>
      <c r="K130">
        <v>69087</v>
      </c>
    </row>
    <row r="131" spans="1:11" x14ac:dyDescent="0.2">
      <c r="A131" t="s">
        <v>153</v>
      </c>
      <c r="B131">
        <v>33</v>
      </c>
      <c r="C131" t="s">
        <v>16</v>
      </c>
      <c r="D131">
        <v>15</v>
      </c>
      <c r="E131">
        <v>89</v>
      </c>
      <c r="F131">
        <v>62</v>
      </c>
      <c r="G131">
        <v>4.3</v>
      </c>
      <c r="H131" t="s">
        <v>29</v>
      </c>
      <c r="I131" t="s">
        <v>34</v>
      </c>
      <c r="J131" s="1">
        <v>45306</v>
      </c>
      <c r="K131">
        <v>85674</v>
      </c>
    </row>
    <row r="132" spans="1:11" x14ac:dyDescent="0.2">
      <c r="A132" t="s">
        <v>154</v>
      </c>
      <c r="B132">
        <v>26</v>
      </c>
      <c r="C132" t="s">
        <v>12</v>
      </c>
      <c r="D132">
        <v>5</v>
      </c>
      <c r="E132">
        <v>57</v>
      </c>
      <c r="F132">
        <v>49</v>
      </c>
      <c r="G132">
        <v>4.0999999999999996</v>
      </c>
      <c r="H132" t="s">
        <v>17</v>
      </c>
      <c r="I132" t="s">
        <v>21</v>
      </c>
      <c r="J132" s="1">
        <v>45313</v>
      </c>
      <c r="K132">
        <v>37357</v>
      </c>
    </row>
    <row r="133" spans="1:11" x14ac:dyDescent="0.2">
      <c r="A133" t="s">
        <v>155</v>
      </c>
      <c r="B133">
        <v>23</v>
      </c>
      <c r="C133" t="s">
        <v>16</v>
      </c>
      <c r="D133">
        <v>1</v>
      </c>
      <c r="E133">
        <v>51</v>
      </c>
      <c r="F133">
        <v>93</v>
      </c>
      <c r="G133">
        <v>2.5</v>
      </c>
      <c r="H133" t="s">
        <v>25</v>
      </c>
      <c r="I133" t="s">
        <v>21</v>
      </c>
      <c r="J133" s="1">
        <v>45313</v>
      </c>
      <c r="K133">
        <v>31456</v>
      </c>
    </row>
    <row r="134" spans="1:11" x14ac:dyDescent="0.2">
      <c r="A134" t="s">
        <v>156</v>
      </c>
      <c r="B134">
        <v>49</v>
      </c>
      <c r="C134" t="s">
        <v>16</v>
      </c>
      <c r="D134">
        <v>14</v>
      </c>
      <c r="E134">
        <v>23</v>
      </c>
      <c r="F134">
        <v>28</v>
      </c>
      <c r="G134">
        <v>1.2</v>
      </c>
      <c r="H134" t="s">
        <v>33</v>
      </c>
      <c r="I134" t="s">
        <v>23</v>
      </c>
      <c r="J134" s="1">
        <v>45297</v>
      </c>
      <c r="K134">
        <v>103586</v>
      </c>
    </row>
    <row r="135" spans="1:11" x14ac:dyDescent="0.2">
      <c r="A135" t="s">
        <v>157</v>
      </c>
      <c r="B135">
        <v>51</v>
      </c>
      <c r="C135" t="s">
        <v>12</v>
      </c>
      <c r="D135">
        <v>16</v>
      </c>
      <c r="E135">
        <v>98</v>
      </c>
      <c r="F135">
        <v>25</v>
      </c>
      <c r="G135">
        <v>1.2</v>
      </c>
      <c r="H135" t="s">
        <v>29</v>
      </c>
      <c r="I135" t="s">
        <v>18</v>
      </c>
      <c r="J135" s="2">
        <v>36526</v>
      </c>
      <c r="K135">
        <v>116473</v>
      </c>
    </row>
    <row r="136" spans="1:11" x14ac:dyDescent="0.2">
      <c r="A136" t="s">
        <v>158</v>
      </c>
      <c r="B136">
        <v>26</v>
      </c>
      <c r="C136" t="s">
        <v>16</v>
      </c>
      <c r="D136">
        <v>5</v>
      </c>
      <c r="E136">
        <v>53</v>
      </c>
      <c r="F136">
        <v>56</v>
      </c>
      <c r="G136">
        <v>3.9</v>
      </c>
      <c r="H136" t="s">
        <v>29</v>
      </c>
      <c r="I136" t="s">
        <v>21</v>
      </c>
      <c r="J136" s="1">
        <v>45313</v>
      </c>
      <c r="K136">
        <v>38714</v>
      </c>
    </row>
    <row r="137" spans="1:11" x14ac:dyDescent="0.2">
      <c r="A137" t="s">
        <v>159</v>
      </c>
      <c r="B137">
        <v>33</v>
      </c>
      <c r="C137" t="s">
        <v>16</v>
      </c>
      <c r="D137">
        <v>14</v>
      </c>
      <c r="E137">
        <v>55</v>
      </c>
      <c r="F137">
        <v>26</v>
      </c>
      <c r="G137">
        <v>4.8</v>
      </c>
      <c r="H137" t="s">
        <v>25</v>
      </c>
      <c r="I137" t="s">
        <v>14</v>
      </c>
      <c r="J137" s="1">
        <v>45309</v>
      </c>
      <c r="K137">
        <v>73623</v>
      </c>
    </row>
    <row r="138" spans="1:11" x14ac:dyDescent="0.2">
      <c r="A138" t="s">
        <v>160</v>
      </c>
      <c r="B138">
        <v>50</v>
      </c>
      <c r="C138" t="s">
        <v>12</v>
      </c>
      <c r="D138">
        <v>14</v>
      </c>
      <c r="E138">
        <v>22</v>
      </c>
      <c r="F138">
        <v>75</v>
      </c>
      <c r="G138">
        <v>2.4</v>
      </c>
      <c r="H138" t="s">
        <v>13</v>
      </c>
      <c r="I138" t="s">
        <v>23</v>
      </c>
      <c r="J138" s="1">
        <v>45303</v>
      </c>
      <c r="K138">
        <v>103407</v>
      </c>
    </row>
    <row r="139" spans="1:11" x14ac:dyDescent="0.2">
      <c r="A139" t="s">
        <v>161</v>
      </c>
      <c r="B139">
        <v>25</v>
      </c>
      <c r="C139" t="s">
        <v>12</v>
      </c>
      <c r="D139">
        <v>4</v>
      </c>
      <c r="E139">
        <v>31</v>
      </c>
      <c r="F139">
        <v>90</v>
      </c>
      <c r="G139">
        <v>2.8</v>
      </c>
      <c r="H139" t="s">
        <v>17</v>
      </c>
      <c r="I139" t="s">
        <v>21</v>
      </c>
      <c r="J139" s="1">
        <v>45312</v>
      </c>
      <c r="K139">
        <v>32010</v>
      </c>
    </row>
    <row r="140" spans="1:11" x14ac:dyDescent="0.2">
      <c r="A140" t="s">
        <v>162</v>
      </c>
      <c r="B140">
        <v>45</v>
      </c>
      <c r="C140" t="s">
        <v>16</v>
      </c>
      <c r="D140">
        <v>18</v>
      </c>
      <c r="E140">
        <v>58</v>
      </c>
      <c r="F140">
        <v>6</v>
      </c>
      <c r="G140">
        <v>3.9</v>
      </c>
      <c r="H140" t="s">
        <v>29</v>
      </c>
      <c r="I140" t="s">
        <v>18</v>
      </c>
      <c r="J140" s="1">
        <v>45304</v>
      </c>
      <c r="K140">
        <v>102633</v>
      </c>
    </row>
    <row r="141" spans="1:11" x14ac:dyDescent="0.2">
      <c r="A141" t="s">
        <v>163</v>
      </c>
      <c r="B141">
        <v>29</v>
      </c>
      <c r="C141" t="s">
        <v>12</v>
      </c>
      <c r="D141">
        <v>5</v>
      </c>
      <c r="E141">
        <v>43</v>
      </c>
      <c r="F141">
        <v>49</v>
      </c>
      <c r="G141">
        <v>3.6</v>
      </c>
      <c r="H141" t="s">
        <v>33</v>
      </c>
      <c r="I141" t="s">
        <v>14</v>
      </c>
      <c r="J141" s="1">
        <v>45310</v>
      </c>
      <c r="K141">
        <v>69725</v>
      </c>
    </row>
    <row r="142" spans="1:11" x14ac:dyDescent="0.2">
      <c r="A142" t="s">
        <v>164</v>
      </c>
      <c r="B142">
        <v>48</v>
      </c>
      <c r="C142" t="s">
        <v>12</v>
      </c>
      <c r="D142">
        <v>17</v>
      </c>
      <c r="E142">
        <v>66</v>
      </c>
      <c r="F142">
        <v>4</v>
      </c>
      <c r="G142">
        <v>2</v>
      </c>
      <c r="H142" t="s">
        <v>29</v>
      </c>
      <c r="I142" t="s">
        <v>18</v>
      </c>
      <c r="J142" s="1">
        <v>45307</v>
      </c>
      <c r="K142">
        <v>115170</v>
      </c>
    </row>
    <row r="143" spans="1:11" x14ac:dyDescent="0.2">
      <c r="A143" t="s">
        <v>165</v>
      </c>
      <c r="B143">
        <v>44</v>
      </c>
      <c r="C143" t="s">
        <v>12</v>
      </c>
      <c r="D143">
        <v>18</v>
      </c>
      <c r="E143">
        <v>18</v>
      </c>
      <c r="F143">
        <v>29</v>
      </c>
      <c r="G143">
        <v>3.7</v>
      </c>
      <c r="H143" t="s">
        <v>25</v>
      </c>
      <c r="I143" t="s">
        <v>18</v>
      </c>
      <c r="J143" s="1">
        <v>45299</v>
      </c>
      <c r="K143">
        <v>110621</v>
      </c>
    </row>
    <row r="144" spans="1:11" x14ac:dyDescent="0.2">
      <c r="A144" t="s">
        <v>166</v>
      </c>
      <c r="B144">
        <v>49</v>
      </c>
      <c r="C144" t="s">
        <v>12</v>
      </c>
      <c r="D144">
        <v>24</v>
      </c>
      <c r="E144">
        <v>45</v>
      </c>
      <c r="F144">
        <v>81</v>
      </c>
      <c r="G144">
        <v>2.2000000000000002</v>
      </c>
      <c r="H144" t="s">
        <v>29</v>
      </c>
      <c r="I144" t="s">
        <v>18</v>
      </c>
      <c r="J144" s="1">
        <v>45303</v>
      </c>
      <c r="K144">
        <v>105706</v>
      </c>
    </row>
    <row r="145" spans="1:11" x14ac:dyDescent="0.2">
      <c r="A145" t="s">
        <v>167</v>
      </c>
      <c r="B145">
        <v>35</v>
      </c>
      <c r="C145" t="s">
        <v>12</v>
      </c>
      <c r="D145">
        <v>15</v>
      </c>
      <c r="E145">
        <v>59</v>
      </c>
      <c r="F145">
        <v>10</v>
      </c>
      <c r="G145">
        <v>2.4</v>
      </c>
      <c r="H145" t="s">
        <v>13</v>
      </c>
      <c r="I145" t="s">
        <v>14</v>
      </c>
      <c r="J145" s="1">
        <v>45311</v>
      </c>
      <c r="K145">
        <v>64858</v>
      </c>
    </row>
    <row r="146" spans="1:11" x14ac:dyDescent="0.2">
      <c r="A146" t="s">
        <v>168</v>
      </c>
      <c r="B146">
        <v>51</v>
      </c>
      <c r="C146" t="s">
        <v>12</v>
      </c>
      <c r="D146">
        <v>15</v>
      </c>
      <c r="E146">
        <v>80</v>
      </c>
      <c r="F146">
        <v>23</v>
      </c>
      <c r="G146">
        <v>3.2</v>
      </c>
      <c r="H146" t="s">
        <v>17</v>
      </c>
      <c r="I146" t="s">
        <v>18</v>
      </c>
      <c r="J146" s="1">
        <v>45300</v>
      </c>
      <c r="K146">
        <v>107898</v>
      </c>
    </row>
    <row r="147" spans="1:11" x14ac:dyDescent="0.2">
      <c r="A147" t="s">
        <v>169</v>
      </c>
      <c r="B147">
        <v>31</v>
      </c>
      <c r="C147" t="s">
        <v>16</v>
      </c>
      <c r="D147">
        <v>16</v>
      </c>
      <c r="E147">
        <v>81</v>
      </c>
      <c r="F147">
        <v>46</v>
      </c>
      <c r="G147">
        <v>3.9</v>
      </c>
      <c r="H147" t="s">
        <v>33</v>
      </c>
      <c r="I147" t="s">
        <v>23</v>
      </c>
      <c r="J147" s="1">
        <v>45301</v>
      </c>
      <c r="K147">
        <v>104318</v>
      </c>
    </row>
    <row r="148" spans="1:11" x14ac:dyDescent="0.2">
      <c r="A148" t="s">
        <v>170</v>
      </c>
      <c r="B148">
        <v>23</v>
      </c>
      <c r="C148" t="s">
        <v>12</v>
      </c>
      <c r="D148">
        <v>1</v>
      </c>
      <c r="E148">
        <v>11</v>
      </c>
      <c r="F148">
        <v>7</v>
      </c>
      <c r="G148">
        <v>1.6</v>
      </c>
      <c r="H148" t="s">
        <v>13</v>
      </c>
      <c r="I148" t="s">
        <v>21</v>
      </c>
      <c r="J148" s="1">
        <v>45313</v>
      </c>
      <c r="K148">
        <v>34697</v>
      </c>
    </row>
    <row r="149" spans="1:11" x14ac:dyDescent="0.2">
      <c r="A149" t="s">
        <v>171</v>
      </c>
      <c r="B149">
        <v>36</v>
      </c>
      <c r="C149" t="s">
        <v>12</v>
      </c>
      <c r="D149">
        <v>10</v>
      </c>
      <c r="E149">
        <v>61</v>
      </c>
      <c r="F149">
        <v>95</v>
      </c>
      <c r="G149">
        <v>1.1000000000000001</v>
      </c>
      <c r="H149" t="s">
        <v>29</v>
      </c>
      <c r="I149" t="s">
        <v>34</v>
      </c>
      <c r="J149" s="1">
        <v>45295</v>
      </c>
      <c r="K149">
        <v>80513</v>
      </c>
    </row>
    <row r="150" spans="1:11" x14ac:dyDescent="0.2">
      <c r="A150" t="s">
        <v>172</v>
      </c>
      <c r="B150">
        <v>30</v>
      </c>
      <c r="C150" t="s">
        <v>16</v>
      </c>
      <c r="D150">
        <v>9</v>
      </c>
      <c r="E150">
        <v>96</v>
      </c>
      <c r="F150">
        <v>81</v>
      </c>
      <c r="G150">
        <v>3.5</v>
      </c>
      <c r="H150" t="s">
        <v>13</v>
      </c>
      <c r="I150" t="s">
        <v>26</v>
      </c>
      <c r="J150" s="1">
        <v>45312</v>
      </c>
      <c r="K150">
        <v>45375</v>
      </c>
    </row>
    <row r="151" spans="1:11" x14ac:dyDescent="0.2">
      <c r="A151" t="s">
        <v>173</v>
      </c>
      <c r="B151">
        <v>24</v>
      </c>
      <c r="C151" t="s">
        <v>16</v>
      </c>
      <c r="D151">
        <v>10</v>
      </c>
      <c r="E151">
        <v>26</v>
      </c>
      <c r="F151">
        <v>86</v>
      </c>
      <c r="G151">
        <v>1.1000000000000001</v>
      </c>
      <c r="H151" t="s">
        <v>33</v>
      </c>
      <c r="I151" t="s">
        <v>26</v>
      </c>
      <c r="J151" s="1">
        <v>45311</v>
      </c>
      <c r="K151">
        <v>58688</v>
      </c>
    </row>
    <row r="152" spans="1:11" x14ac:dyDescent="0.2">
      <c r="A152" t="s">
        <v>174</v>
      </c>
      <c r="B152">
        <v>35</v>
      </c>
      <c r="C152" t="s">
        <v>16</v>
      </c>
      <c r="D152">
        <v>15</v>
      </c>
      <c r="E152">
        <v>37</v>
      </c>
      <c r="F152">
        <v>22</v>
      </c>
      <c r="G152">
        <v>1.2</v>
      </c>
      <c r="H152" t="s">
        <v>17</v>
      </c>
      <c r="I152" t="s">
        <v>18</v>
      </c>
      <c r="J152" s="1">
        <v>45299</v>
      </c>
      <c r="K152">
        <v>100269</v>
      </c>
    </row>
    <row r="153" spans="1:11" x14ac:dyDescent="0.2">
      <c r="A153" t="s">
        <v>175</v>
      </c>
      <c r="B153">
        <v>28</v>
      </c>
      <c r="C153" t="s">
        <v>16</v>
      </c>
      <c r="D153">
        <v>13</v>
      </c>
      <c r="E153">
        <v>0</v>
      </c>
      <c r="F153">
        <v>29</v>
      </c>
      <c r="G153">
        <v>1.9</v>
      </c>
      <c r="H153" t="s">
        <v>29</v>
      </c>
      <c r="I153" t="s">
        <v>14</v>
      </c>
      <c r="J153" s="1">
        <v>45311</v>
      </c>
      <c r="K153">
        <v>70460</v>
      </c>
    </row>
    <row r="154" spans="1:11" x14ac:dyDescent="0.2">
      <c r="A154" t="s">
        <v>176</v>
      </c>
      <c r="B154">
        <v>26</v>
      </c>
      <c r="C154" t="s">
        <v>12</v>
      </c>
      <c r="D154">
        <v>2</v>
      </c>
      <c r="E154">
        <v>89</v>
      </c>
      <c r="F154">
        <v>78</v>
      </c>
      <c r="G154">
        <v>3.6</v>
      </c>
      <c r="H154" t="s">
        <v>29</v>
      </c>
      <c r="I154" t="s">
        <v>21</v>
      </c>
      <c r="J154" s="1">
        <v>45311</v>
      </c>
      <c r="K154">
        <v>34412</v>
      </c>
    </row>
    <row r="155" spans="1:11" x14ac:dyDescent="0.2">
      <c r="A155" t="s">
        <v>177</v>
      </c>
      <c r="B155">
        <v>31</v>
      </c>
      <c r="C155" t="s">
        <v>16</v>
      </c>
      <c r="D155">
        <v>11</v>
      </c>
      <c r="E155">
        <v>57</v>
      </c>
      <c r="F155">
        <v>38</v>
      </c>
      <c r="G155">
        <v>1.3</v>
      </c>
      <c r="H155" t="s">
        <v>13</v>
      </c>
      <c r="I155" t="s">
        <v>34</v>
      </c>
      <c r="J155" s="1">
        <v>45301</v>
      </c>
      <c r="K155">
        <v>81248</v>
      </c>
    </row>
    <row r="156" spans="1:11" x14ac:dyDescent="0.2">
      <c r="A156" t="s">
        <v>178</v>
      </c>
      <c r="B156">
        <v>27</v>
      </c>
      <c r="C156" t="s">
        <v>12</v>
      </c>
      <c r="D156">
        <v>4</v>
      </c>
      <c r="E156">
        <v>79</v>
      </c>
      <c r="F156">
        <v>78</v>
      </c>
      <c r="G156">
        <v>1.2</v>
      </c>
      <c r="H156" t="s">
        <v>17</v>
      </c>
      <c r="I156" t="s">
        <v>26</v>
      </c>
      <c r="J156" s="1">
        <v>45309</v>
      </c>
      <c r="K156">
        <v>59268</v>
      </c>
    </row>
    <row r="157" spans="1:11" x14ac:dyDescent="0.2">
      <c r="A157" t="s">
        <v>179</v>
      </c>
      <c r="B157">
        <v>23</v>
      </c>
      <c r="C157" t="s">
        <v>16</v>
      </c>
      <c r="D157">
        <v>9</v>
      </c>
      <c r="E157">
        <v>59</v>
      </c>
      <c r="F157">
        <v>11</v>
      </c>
      <c r="G157">
        <v>4.9000000000000004</v>
      </c>
      <c r="H157" t="s">
        <v>13</v>
      </c>
      <c r="I157" t="s">
        <v>26</v>
      </c>
      <c r="J157" s="1">
        <v>45312</v>
      </c>
      <c r="K157">
        <v>55833</v>
      </c>
    </row>
    <row r="158" spans="1:11" x14ac:dyDescent="0.2">
      <c r="A158" t="s">
        <v>180</v>
      </c>
      <c r="B158">
        <v>23</v>
      </c>
      <c r="C158" t="s">
        <v>12</v>
      </c>
      <c r="D158">
        <v>2</v>
      </c>
      <c r="E158">
        <v>0</v>
      </c>
      <c r="F158">
        <v>90</v>
      </c>
      <c r="G158">
        <v>2.7</v>
      </c>
      <c r="H158" t="s">
        <v>13</v>
      </c>
      <c r="I158" t="s">
        <v>21</v>
      </c>
      <c r="J158" s="1">
        <v>45311</v>
      </c>
      <c r="K158">
        <v>35130</v>
      </c>
    </row>
    <row r="159" spans="1:11" x14ac:dyDescent="0.2">
      <c r="A159" t="s">
        <v>181</v>
      </c>
      <c r="B159">
        <v>23</v>
      </c>
      <c r="C159" t="s">
        <v>16</v>
      </c>
      <c r="D159">
        <v>5</v>
      </c>
      <c r="E159">
        <v>27</v>
      </c>
      <c r="F159">
        <v>65</v>
      </c>
      <c r="G159">
        <v>4.5999999999999996</v>
      </c>
      <c r="H159" t="s">
        <v>25</v>
      </c>
      <c r="I159" t="s">
        <v>21</v>
      </c>
      <c r="J159" s="1">
        <v>45312</v>
      </c>
      <c r="K159">
        <v>35192</v>
      </c>
    </row>
    <row r="160" spans="1:11" x14ac:dyDescent="0.2">
      <c r="A160" t="s">
        <v>182</v>
      </c>
      <c r="B160">
        <v>54</v>
      </c>
      <c r="C160" t="s">
        <v>12</v>
      </c>
      <c r="D160">
        <v>22</v>
      </c>
      <c r="E160">
        <v>38</v>
      </c>
      <c r="F160">
        <v>96</v>
      </c>
      <c r="G160">
        <v>1.9</v>
      </c>
      <c r="H160" t="s">
        <v>25</v>
      </c>
      <c r="I160" t="s">
        <v>18</v>
      </c>
      <c r="J160" s="1">
        <v>45302</v>
      </c>
      <c r="K160">
        <v>117951</v>
      </c>
    </row>
    <row r="161" spans="1:11" x14ac:dyDescent="0.2">
      <c r="A161" t="s">
        <v>183</v>
      </c>
      <c r="B161">
        <v>40</v>
      </c>
      <c r="C161" t="s">
        <v>16</v>
      </c>
      <c r="D161">
        <v>18</v>
      </c>
      <c r="E161">
        <v>14</v>
      </c>
      <c r="F161">
        <v>36</v>
      </c>
      <c r="G161">
        <v>2.7</v>
      </c>
      <c r="H161" t="s">
        <v>13</v>
      </c>
      <c r="I161" t="s">
        <v>18</v>
      </c>
      <c r="J161" s="1">
        <v>45296</v>
      </c>
      <c r="K161">
        <v>109418</v>
      </c>
    </row>
    <row r="162" spans="1:11" x14ac:dyDescent="0.2">
      <c r="A162" t="s">
        <v>184</v>
      </c>
      <c r="B162">
        <v>39</v>
      </c>
      <c r="C162" t="s">
        <v>12</v>
      </c>
      <c r="D162">
        <v>18</v>
      </c>
      <c r="E162">
        <v>98</v>
      </c>
      <c r="F162">
        <v>98</v>
      </c>
      <c r="G162">
        <v>2.4</v>
      </c>
      <c r="H162" t="s">
        <v>25</v>
      </c>
      <c r="I162" t="s">
        <v>34</v>
      </c>
      <c r="J162" s="1">
        <v>45294</v>
      </c>
      <c r="K162">
        <v>80793</v>
      </c>
    </row>
    <row r="163" spans="1:11" x14ac:dyDescent="0.2">
      <c r="A163" t="s">
        <v>185</v>
      </c>
      <c r="B163">
        <v>26</v>
      </c>
      <c r="C163" t="s">
        <v>16</v>
      </c>
      <c r="D163">
        <v>5</v>
      </c>
      <c r="E163">
        <v>80</v>
      </c>
      <c r="F163">
        <v>45</v>
      </c>
      <c r="G163">
        <v>1.7</v>
      </c>
      <c r="H163" t="s">
        <v>33</v>
      </c>
      <c r="I163" t="s">
        <v>21</v>
      </c>
      <c r="J163" s="1">
        <v>45313</v>
      </c>
      <c r="K163">
        <v>34076</v>
      </c>
    </row>
    <row r="164" spans="1:11" x14ac:dyDescent="0.2">
      <c r="A164" t="s">
        <v>186</v>
      </c>
      <c r="B164">
        <v>29</v>
      </c>
      <c r="C164" t="s">
        <v>12</v>
      </c>
      <c r="D164">
        <v>9</v>
      </c>
      <c r="E164">
        <v>38</v>
      </c>
      <c r="F164">
        <v>52</v>
      </c>
      <c r="G164">
        <v>2.2999999999999998</v>
      </c>
      <c r="H164" t="s">
        <v>25</v>
      </c>
      <c r="I164" t="s">
        <v>14</v>
      </c>
      <c r="J164" s="1">
        <v>45311</v>
      </c>
      <c r="K164">
        <v>73916</v>
      </c>
    </row>
    <row r="165" spans="1:11" x14ac:dyDescent="0.2">
      <c r="A165" t="s">
        <v>187</v>
      </c>
      <c r="B165">
        <v>35</v>
      </c>
      <c r="C165" t="s">
        <v>12</v>
      </c>
      <c r="D165">
        <v>25</v>
      </c>
      <c r="E165">
        <v>69</v>
      </c>
      <c r="F165">
        <v>58</v>
      </c>
      <c r="G165">
        <v>4.9000000000000004</v>
      </c>
      <c r="H165" t="s">
        <v>17</v>
      </c>
      <c r="I165" t="s">
        <v>18</v>
      </c>
      <c r="J165" s="1">
        <v>45292</v>
      </c>
      <c r="K165">
        <v>116928</v>
      </c>
    </row>
    <row r="166" spans="1:11" x14ac:dyDescent="0.2">
      <c r="A166" t="s">
        <v>188</v>
      </c>
      <c r="B166">
        <v>23</v>
      </c>
      <c r="C166" t="s">
        <v>12</v>
      </c>
      <c r="D166">
        <v>5</v>
      </c>
      <c r="E166">
        <v>77</v>
      </c>
      <c r="F166">
        <v>6</v>
      </c>
      <c r="G166">
        <v>4</v>
      </c>
      <c r="H166" t="s">
        <v>25</v>
      </c>
      <c r="I166" t="s">
        <v>26</v>
      </c>
      <c r="J166" s="1">
        <v>45309</v>
      </c>
      <c r="K166">
        <v>47294</v>
      </c>
    </row>
    <row r="167" spans="1:11" x14ac:dyDescent="0.2">
      <c r="A167" t="s">
        <v>189</v>
      </c>
      <c r="B167">
        <v>28</v>
      </c>
      <c r="C167" t="s">
        <v>16</v>
      </c>
      <c r="D167">
        <v>9</v>
      </c>
      <c r="E167">
        <v>19</v>
      </c>
      <c r="F167">
        <v>80</v>
      </c>
      <c r="G167">
        <v>2.5</v>
      </c>
      <c r="H167" t="s">
        <v>17</v>
      </c>
      <c r="I167" t="s">
        <v>34</v>
      </c>
      <c r="J167" s="1">
        <v>45305</v>
      </c>
      <c r="K167">
        <v>84252</v>
      </c>
    </row>
    <row r="168" spans="1:11" x14ac:dyDescent="0.2">
      <c r="A168" t="s">
        <v>190</v>
      </c>
      <c r="B168">
        <v>54</v>
      </c>
      <c r="C168" t="s">
        <v>12</v>
      </c>
      <c r="D168">
        <v>20</v>
      </c>
      <c r="E168">
        <v>54</v>
      </c>
      <c r="F168">
        <v>89</v>
      </c>
      <c r="G168">
        <v>2.6</v>
      </c>
      <c r="H168" t="s">
        <v>13</v>
      </c>
      <c r="I168" t="s">
        <v>18</v>
      </c>
      <c r="J168" s="2">
        <v>36161</v>
      </c>
      <c r="K168">
        <v>119567</v>
      </c>
    </row>
    <row r="169" spans="1:11" x14ac:dyDescent="0.2">
      <c r="A169" t="s">
        <v>191</v>
      </c>
      <c r="B169">
        <v>40</v>
      </c>
      <c r="C169" t="s">
        <v>12</v>
      </c>
      <c r="D169">
        <v>22</v>
      </c>
      <c r="E169">
        <v>90</v>
      </c>
      <c r="F169">
        <v>66</v>
      </c>
      <c r="G169">
        <v>2.1</v>
      </c>
      <c r="H169" t="s">
        <v>17</v>
      </c>
      <c r="I169" t="s">
        <v>18</v>
      </c>
      <c r="J169" s="1">
        <v>45300</v>
      </c>
      <c r="K169">
        <v>101837</v>
      </c>
    </row>
    <row r="170" spans="1:11" x14ac:dyDescent="0.2">
      <c r="A170" t="s">
        <v>192</v>
      </c>
      <c r="B170">
        <v>29</v>
      </c>
      <c r="C170" t="s">
        <v>16</v>
      </c>
      <c r="D170">
        <v>9</v>
      </c>
      <c r="E170">
        <v>96</v>
      </c>
      <c r="F170">
        <v>85</v>
      </c>
      <c r="G170">
        <v>3.1</v>
      </c>
      <c r="H170" t="s">
        <v>25</v>
      </c>
      <c r="I170" t="s">
        <v>14</v>
      </c>
      <c r="J170" s="1">
        <v>45308</v>
      </c>
      <c r="K170">
        <v>72877</v>
      </c>
    </row>
    <row r="171" spans="1:11" x14ac:dyDescent="0.2">
      <c r="A171" t="s">
        <v>193</v>
      </c>
      <c r="B171">
        <v>28</v>
      </c>
      <c r="C171" t="s">
        <v>16</v>
      </c>
      <c r="D171">
        <v>10</v>
      </c>
      <c r="E171">
        <v>60</v>
      </c>
      <c r="F171">
        <v>83</v>
      </c>
      <c r="G171">
        <v>3.9</v>
      </c>
      <c r="H171" t="s">
        <v>29</v>
      </c>
      <c r="I171" t="s">
        <v>14</v>
      </c>
      <c r="J171" s="1">
        <v>45309</v>
      </c>
      <c r="K171">
        <v>66367</v>
      </c>
    </row>
    <row r="172" spans="1:11" x14ac:dyDescent="0.2">
      <c r="A172" t="s">
        <v>194</v>
      </c>
      <c r="B172">
        <v>47</v>
      </c>
      <c r="C172" t="s">
        <v>16</v>
      </c>
      <c r="D172">
        <v>23</v>
      </c>
      <c r="E172">
        <v>11</v>
      </c>
      <c r="F172">
        <v>70</v>
      </c>
      <c r="G172">
        <v>3.7</v>
      </c>
      <c r="H172" t="s">
        <v>13</v>
      </c>
      <c r="I172" t="s">
        <v>18</v>
      </c>
      <c r="J172" s="1">
        <v>45297</v>
      </c>
      <c r="K172">
        <v>113716</v>
      </c>
    </row>
    <row r="173" spans="1:11" x14ac:dyDescent="0.2">
      <c r="A173" t="s">
        <v>195</v>
      </c>
      <c r="B173">
        <v>25</v>
      </c>
      <c r="C173" t="s">
        <v>12</v>
      </c>
      <c r="D173">
        <v>4</v>
      </c>
      <c r="E173">
        <v>86</v>
      </c>
      <c r="F173">
        <v>94</v>
      </c>
      <c r="G173">
        <v>2.9</v>
      </c>
      <c r="H173" t="s">
        <v>13</v>
      </c>
      <c r="I173" t="s">
        <v>21</v>
      </c>
      <c r="J173" s="1">
        <v>45312</v>
      </c>
      <c r="K173">
        <v>34601</v>
      </c>
    </row>
    <row r="174" spans="1:11" x14ac:dyDescent="0.2">
      <c r="A174" t="s">
        <v>196</v>
      </c>
      <c r="B174">
        <v>58</v>
      </c>
      <c r="C174" t="s">
        <v>12</v>
      </c>
      <c r="D174">
        <v>19</v>
      </c>
      <c r="E174">
        <v>63</v>
      </c>
      <c r="F174">
        <v>55</v>
      </c>
      <c r="G174">
        <v>1.2</v>
      </c>
      <c r="H174" t="s">
        <v>13</v>
      </c>
      <c r="I174" t="s">
        <v>18</v>
      </c>
      <c r="J174" s="1">
        <v>45304</v>
      </c>
      <c r="K174">
        <v>119085</v>
      </c>
    </row>
    <row r="175" spans="1:11" x14ac:dyDescent="0.2">
      <c r="A175" t="s">
        <v>197</v>
      </c>
      <c r="B175">
        <v>41</v>
      </c>
      <c r="C175" t="s">
        <v>12</v>
      </c>
      <c r="D175">
        <v>13</v>
      </c>
      <c r="E175">
        <v>97</v>
      </c>
      <c r="F175">
        <v>74</v>
      </c>
      <c r="G175">
        <v>4.7</v>
      </c>
      <c r="H175" t="s">
        <v>13</v>
      </c>
      <c r="I175" t="s">
        <v>23</v>
      </c>
      <c r="J175" s="1">
        <v>45307</v>
      </c>
      <c r="K175">
        <v>97387</v>
      </c>
    </row>
    <row r="176" spans="1:11" x14ac:dyDescent="0.2">
      <c r="A176" t="s">
        <v>198</v>
      </c>
      <c r="B176">
        <v>39</v>
      </c>
      <c r="C176" t="s">
        <v>12</v>
      </c>
      <c r="D176">
        <v>12</v>
      </c>
      <c r="E176">
        <v>29</v>
      </c>
      <c r="F176">
        <v>58</v>
      </c>
      <c r="G176">
        <v>2.6</v>
      </c>
      <c r="H176" t="s">
        <v>17</v>
      </c>
      <c r="I176" t="s">
        <v>34</v>
      </c>
      <c r="J176" s="1">
        <v>45294</v>
      </c>
      <c r="K176">
        <v>84152</v>
      </c>
    </row>
    <row r="177" spans="1:11" x14ac:dyDescent="0.2">
      <c r="A177" t="s">
        <v>199</v>
      </c>
      <c r="B177">
        <v>24</v>
      </c>
      <c r="C177" t="s">
        <v>12</v>
      </c>
      <c r="D177">
        <v>10</v>
      </c>
      <c r="E177">
        <v>69</v>
      </c>
      <c r="F177">
        <v>62</v>
      </c>
      <c r="G177">
        <v>2.6</v>
      </c>
      <c r="H177" t="s">
        <v>33</v>
      </c>
      <c r="I177" t="s">
        <v>26</v>
      </c>
      <c r="J177" s="1">
        <v>45310</v>
      </c>
      <c r="K177">
        <v>50124</v>
      </c>
    </row>
    <row r="178" spans="1:11" x14ac:dyDescent="0.2">
      <c r="A178" t="s">
        <v>200</v>
      </c>
      <c r="B178">
        <v>34</v>
      </c>
      <c r="C178" t="s">
        <v>12</v>
      </c>
      <c r="D178">
        <v>11</v>
      </c>
      <c r="E178">
        <v>97</v>
      </c>
      <c r="F178">
        <v>32</v>
      </c>
      <c r="G178">
        <v>1</v>
      </c>
      <c r="H178" t="s">
        <v>13</v>
      </c>
      <c r="I178" t="s">
        <v>14</v>
      </c>
      <c r="J178" s="1">
        <v>45310</v>
      </c>
      <c r="K178">
        <v>74918</v>
      </c>
    </row>
    <row r="179" spans="1:11" x14ac:dyDescent="0.2">
      <c r="A179" t="s">
        <v>201</v>
      </c>
      <c r="B179">
        <v>48</v>
      </c>
      <c r="C179" t="s">
        <v>16</v>
      </c>
      <c r="D179">
        <v>16</v>
      </c>
      <c r="E179">
        <v>51</v>
      </c>
      <c r="F179">
        <v>90</v>
      </c>
      <c r="G179">
        <v>1.6</v>
      </c>
      <c r="H179" t="s">
        <v>25</v>
      </c>
      <c r="I179" t="s">
        <v>18</v>
      </c>
      <c r="J179" s="1">
        <v>45300</v>
      </c>
      <c r="K179">
        <v>117458</v>
      </c>
    </row>
    <row r="180" spans="1:11" x14ac:dyDescent="0.2">
      <c r="A180" t="s">
        <v>202</v>
      </c>
      <c r="B180">
        <v>60</v>
      </c>
      <c r="C180" t="s">
        <v>16</v>
      </c>
      <c r="D180">
        <v>17</v>
      </c>
      <c r="E180">
        <v>35</v>
      </c>
      <c r="F180">
        <v>60</v>
      </c>
      <c r="G180">
        <v>4.5</v>
      </c>
      <c r="H180" t="s">
        <v>33</v>
      </c>
      <c r="I180" t="s">
        <v>18</v>
      </c>
      <c r="J180" s="1">
        <v>45294</v>
      </c>
      <c r="K180">
        <v>116039</v>
      </c>
    </row>
    <row r="181" spans="1:11" x14ac:dyDescent="0.2">
      <c r="A181" t="s">
        <v>203</v>
      </c>
      <c r="B181">
        <v>22</v>
      </c>
      <c r="C181" t="s">
        <v>16</v>
      </c>
      <c r="D181">
        <v>3</v>
      </c>
      <c r="E181">
        <v>80</v>
      </c>
      <c r="F181">
        <v>27</v>
      </c>
      <c r="G181">
        <v>3.1</v>
      </c>
      <c r="H181" t="s">
        <v>29</v>
      </c>
      <c r="I181" t="s">
        <v>21</v>
      </c>
      <c r="J181" s="1">
        <v>45311</v>
      </c>
      <c r="K181">
        <v>37353</v>
      </c>
    </row>
    <row r="182" spans="1:11" x14ac:dyDescent="0.2">
      <c r="A182" t="s">
        <v>204</v>
      </c>
      <c r="B182">
        <v>25</v>
      </c>
      <c r="C182" t="s">
        <v>12</v>
      </c>
      <c r="D182">
        <v>6</v>
      </c>
      <c r="E182">
        <v>2</v>
      </c>
      <c r="F182">
        <v>43</v>
      </c>
      <c r="G182">
        <v>3.9</v>
      </c>
      <c r="H182" t="s">
        <v>33</v>
      </c>
      <c r="I182" t="s">
        <v>14</v>
      </c>
      <c r="J182" s="1">
        <v>45310</v>
      </c>
      <c r="K182">
        <v>71604</v>
      </c>
    </row>
    <row r="183" spans="1:11" x14ac:dyDescent="0.2">
      <c r="A183" t="s">
        <v>205</v>
      </c>
      <c r="B183">
        <v>35</v>
      </c>
      <c r="C183" t="s">
        <v>12</v>
      </c>
      <c r="D183">
        <v>19</v>
      </c>
      <c r="E183">
        <v>15</v>
      </c>
      <c r="F183">
        <v>34</v>
      </c>
      <c r="G183">
        <v>1.6</v>
      </c>
      <c r="H183" t="s">
        <v>25</v>
      </c>
      <c r="I183" t="s">
        <v>23</v>
      </c>
      <c r="J183" s="1">
        <v>45299</v>
      </c>
      <c r="K183">
        <v>94026</v>
      </c>
    </row>
    <row r="184" spans="1:11" x14ac:dyDescent="0.2">
      <c r="A184" t="s">
        <v>206</v>
      </c>
      <c r="B184">
        <v>28</v>
      </c>
      <c r="C184" t="s">
        <v>16</v>
      </c>
      <c r="D184">
        <v>18</v>
      </c>
      <c r="E184">
        <v>34</v>
      </c>
      <c r="F184">
        <v>5</v>
      </c>
      <c r="G184">
        <v>2.2999999999999998</v>
      </c>
      <c r="H184" t="s">
        <v>25</v>
      </c>
      <c r="I184" t="s">
        <v>34</v>
      </c>
      <c r="J184" s="1">
        <v>45306</v>
      </c>
      <c r="K184">
        <v>86941</v>
      </c>
    </row>
    <row r="185" spans="1:11" x14ac:dyDescent="0.2">
      <c r="A185" t="s">
        <v>207</v>
      </c>
      <c r="B185">
        <v>27</v>
      </c>
      <c r="C185" t="s">
        <v>12</v>
      </c>
      <c r="D185">
        <v>3</v>
      </c>
      <c r="E185">
        <v>85</v>
      </c>
      <c r="F185">
        <v>5</v>
      </c>
      <c r="G185">
        <v>4.4000000000000004</v>
      </c>
      <c r="H185" t="s">
        <v>17</v>
      </c>
      <c r="I185" t="s">
        <v>26</v>
      </c>
      <c r="J185" s="1">
        <v>45311</v>
      </c>
      <c r="K185">
        <v>51135</v>
      </c>
    </row>
    <row r="186" spans="1:11" x14ac:dyDescent="0.2">
      <c r="A186" t="s">
        <v>208</v>
      </c>
      <c r="B186">
        <v>41</v>
      </c>
      <c r="C186" t="s">
        <v>16</v>
      </c>
      <c r="D186">
        <v>18</v>
      </c>
      <c r="E186">
        <v>5</v>
      </c>
      <c r="F186">
        <v>6</v>
      </c>
      <c r="G186">
        <v>4.3</v>
      </c>
      <c r="H186" t="s">
        <v>13</v>
      </c>
      <c r="I186" t="s">
        <v>23</v>
      </c>
      <c r="J186" s="1">
        <v>45309</v>
      </c>
      <c r="K186">
        <v>95555</v>
      </c>
    </row>
    <row r="187" spans="1:11" x14ac:dyDescent="0.2">
      <c r="A187" t="s">
        <v>209</v>
      </c>
      <c r="B187">
        <v>36</v>
      </c>
      <c r="C187" t="s">
        <v>16</v>
      </c>
      <c r="D187">
        <v>12</v>
      </c>
      <c r="E187">
        <v>0</v>
      </c>
      <c r="F187">
        <v>20</v>
      </c>
      <c r="G187">
        <v>2</v>
      </c>
      <c r="H187" t="s">
        <v>13</v>
      </c>
      <c r="I187" t="s">
        <v>23</v>
      </c>
      <c r="J187" s="1">
        <v>45300</v>
      </c>
      <c r="K187">
        <v>107062</v>
      </c>
    </row>
    <row r="188" spans="1:11" x14ac:dyDescent="0.2">
      <c r="A188" t="s">
        <v>210</v>
      </c>
      <c r="B188">
        <v>42</v>
      </c>
      <c r="C188" t="s">
        <v>16</v>
      </c>
      <c r="D188">
        <v>17</v>
      </c>
      <c r="E188">
        <v>32</v>
      </c>
      <c r="F188">
        <v>44</v>
      </c>
      <c r="G188">
        <v>1.1000000000000001</v>
      </c>
      <c r="H188" t="s">
        <v>33</v>
      </c>
      <c r="I188" t="s">
        <v>23</v>
      </c>
      <c r="J188" s="1">
        <v>45294</v>
      </c>
      <c r="K188">
        <v>91680</v>
      </c>
    </row>
    <row r="189" spans="1:11" x14ac:dyDescent="0.2">
      <c r="A189" t="s">
        <v>211</v>
      </c>
      <c r="B189">
        <v>36</v>
      </c>
      <c r="C189" t="s">
        <v>16</v>
      </c>
      <c r="D189">
        <v>12</v>
      </c>
      <c r="E189">
        <v>50</v>
      </c>
      <c r="F189">
        <v>0</v>
      </c>
      <c r="G189">
        <v>4.2</v>
      </c>
      <c r="H189" t="s">
        <v>29</v>
      </c>
      <c r="I189" t="s">
        <v>23</v>
      </c>
      <c r="J189" s="1">
        <v>45308</v>
      </c>
      <c r="K189">
        <v>97569</v>
      </c>
    </row>
    <row r="190" spans="1:11" x14ac:dyDescent="0.2">
      <c r="A190" t="s">
        <v>212</v>
      </c>
      <c r="B190">
        <v>28</v>
      </c>
      <c r="C190" t="s">
        <v>16</v>
      </c>
      <c r="D190">
        <v>8</v>
      </c>
      <c r="E190">
        <v>67</v>
      </c>
      <c r="F190">
        <v>37</v>
      </c>
      <c r="G190">
        <v>1.7</v>
      </c>
      <c r="H190" t="s">
        <v>17</v>
      </c>
      <c r="I190" t="s">
        <v>26</v>
      </c>
      <c r="J190" s="1">
        <v>45310</v>
      </c>
      <c r="K190">
        <v>56570</v>
      </c>
    </row>
    <row r="191" spans="1:11" x14ac:dyDescent="0.2">
      <c r="A191" t="s">
        <v>213</v>
      </c>
      <c r="B191">
        <v>25</v>
      </c>
      <c r="C191" t="s">
        <v>16</v>
      </c>
      <c r="D191">
        <v>6</v>
      </c>
      <c r="E191">
        <v>74</v>
      </c>
      <c r="F191">
        <v>83</v>
      </c>
      <c r="G191">
        <v>4.2</v>
      </c>
      <c r="H191" t="s">
        <v>17</v>
      </c>
      <c r="I191" t="s">
        <v>26</v>
      </c>
      <c r="J191" s="1">
        <v>45312</v>
      </c>
      <c r="K191">
        <v>58237</v>
      </c>
    </row>
    <row r="192" spans="1:11" x14ac:dyDescent="0.2">
      <c r="A192" t="s">
        <v>214</v>
      </c>
      <c r="B192">
        <v>35</v>
      </c>
      <c r="C192" t="s">
        <v>12</v>
      </c>
      <c r="D192">
        <v>18</v>
      </c>
      <c r="E192">
        <v>90</v>
      </c>
      <c r="F192">
        <v>0</v>
      </c>
      <c r="G192">
        <v>3.7</v>
      </c>
      <c r="H192" t="s">
        <v>33</v>
      </c>
      <c r="I192" t="s">
        <v>23</v>
      </c>
      <c r="J192" s="1">
        <v>45304</v>
      </c>
      <c r="K192">
        <v>105640</v>
      </c>
    </row>
    <row r="193" spans="1:11" x14ac:dyDescent="0.2">
      <c r="A193" t="s">
        <v>215</v>
      </c>
      <c r="B193">
        <v>43</v>
      </c>
      <c r="C193" t="s">
        <v>12</v>
      </c>
      <c r="D193">
        <v>11</v>
      </c>
      <c r="E193">
        <v>50</v>
      </c>
      <c r="F193">
        <v>17</v>
      </c>
      <c r="G193">
        <v>1.7</v>
      </c>
      <c r="H193" t="s">
        <v>25</v>
      </c>
      <c r="I193" t="s">
        <v>34</v>
      </c>
      <c r="J193" s="1">
        <v>45304</v>
      </c>
      <c r="K193">
        <v>86286</v>
      </c>
    </row>
    <row r="194" spans="1:11" x14ac:dyDescent="0.2">
      <c r="A194" t="s">
        <v>216</v>
      </c>
      <c r="B194">
        <v>35</v>
      </c>
      <c r="C194" t="s">
        <v>12</v>
      </c>
      <c r="D194">
        <v>7</v>
      </c>
      <c r="E194">
        <v>56</v>
      </c>
      <c r="F194">
        <v>8</v>
      </c>
      <c r="G194">
        <v>1.3</v>
      </c>
      <c r="H194" t="s">
        <v>25</v>
      </c>
      <c r="I194" t="s">
        <v>14</v>
      </c>
      <c r="J194" s="1">
        <v>45310</v>
      </c>
      <c r="K194">
        <v>60501</v>
      </c>
    </row>
    <row r="195" spans="1:11" x14ac:dyDescent="0.2">
      <c r="A195" t="s">
        <v>217</v>
      </c>
      <c r="B195">
        <v>39</v>
      </c>
      <c r="C195" t="s">
        <v>16</v>
      </c>
      <c r="D195">
        <v>16</v>
      </c>
      <c r="E195">
        <v>13</v>
      </c>
      <c r="F195">
        <v>100</v>
      </c>
      <c r="G195">
        <v>4.7</v>
      </c>
      <c r="H195" t="s">
        <v>17</v>
      </c>
      <c r="I195" t="s">
        <v>18</v>
      </c>
      <c r="J195" s="1">
        <v>45307</v>
      </c>
      <c r="K195">
        <v>107814</v>
      </c>
    </row>
    <row r="196" spans="1:11" x14ac:dyDescent="0.2">
      <c r="A196" t="s">
        <v>218</v>
      </c>
      <c r="B196">
        <v>26</v>
      </c>
      <c r="C196" t="s">
        <v>16</v>
      </c>
      <c r="D196">
        <v>2</v>
      </c>
      <c r="E196">
        <v>95</v>
      </c>
      <c r="F196">
        <v>54</v>
      </c>
      <c r="G196">
        <v>3.4</v>
      </c>
      <c r="H196" t="s">
        <v>17</v>
      </c>
      <c r="I196" t="s">
        <v>21</v>
      </c>
      <c r="J196" s="1">
        <v>45313</v>
      </c>
      <c r="K196">
        <v>31328</v>
      </c>
    </row>
    <row r="197" spans="1:11" x14ac:dyDescent="0.2">
      <c r="A197" t="s">
        <v>219</v>
      </c>
      <c r="B197">
        <v>29</v>
      </c>
      <c r="C197" t="s">
        <v>16</v>
      </c>
      <c r="D197">
        <v>9</v>
      </c>
      <c r="E197">
        <v>32</v>
      </c>
      <c r="F197">
        <v>87</v>
      </c>
      <c r="G197">
        <v>3.5</v>
      </c>
      <c r="H197" t="s">
        <v>29</v>
      </c>
      <c r="I197" t="s">
        <v>26</v>
      </c>
      <c r="J197" s="1">
        <v>45310</v>
      </c>
      <c r="K197">
        <v>50051</v>
      </c>
    </row>
    <row r="198" spans="1:11" x14ac:dyDescent="0.2">
      <c r="A198" t="s">
        <v>220</v>
      </c>
      <c r="B198">
        <v>26</v>
      </c>
      <c r="C198" t="s">
        <v>12</v>
      </c>
      <c r="D198">
        <v>7</v>
      </c>
      <c r="E198">
        <v>45</v>
      </c>
      <c r="F198">
        <v>28</v>
      </c>
      <c r="G198">
        <v>2.8</v>
      </c>
      <c r="H198" t="s">
        <v>17</v>
      </c>
      <c r="I198" t="s">
        <v>26</v>
      </c>
      <c r="J198" s="1">
        <v>45312</v>
      </c>
      <c r="K198">
        <v>46612</v>
      </c>
    </row>
    <row r="199" spans="1:11" x14ac:dyDescent="0.2">
      <c r="A199" t="s">
        <v>221</v>
      </c>
      <c r="B199">
        <v>22</v>
      </c>
      <c r="C199" t="s">
        <v>12</v>
      </c>
      <c r="D199">
        <v>3</v>
      </c>
      <c r="E199">
        <v>36</v>
      </c>
      <c r="F199">
        <v>77</v>
      </c>
      <c r="G199">
        <v>1.6</v>
      </c>
      <c r="H199" t="s">
        <v>33</v>
      </c>
      <c r="I199" t="s">
        <v>21</v>
      </c>
      <c r="J199" s="1">
        <v>45312</v>
      </c>
      <c r="K199">
        <v>32992</v>
      </c>
    </row>
    <row r="200" spans="1:11" x14ac:dyDescent="0.2">
      <c r="A200" t="s">
        <v>222</v>
      </c>
      <c r="B200">
        <v>36</v>
      </c>
      <c r="C200" t="s">
        <v>16</v>
      </c>
      <c r="D200">
        <v>23</v>
      </c>
      <c r="E200">
        <v>96</v>
      </c>
      <c r="F200">
        <v>50</v>
      </c>
      <c r="G200">
        <v>3.4</v>
      </c>
      <c r="H200" t="s">
        <v>13</v>
      </c>
      <c r="I200" t="s">
        <v>18</v>
      </c>
      <c r="J200" s="1">
        <v>45296</v>
      </c>
      <c r="K200">
        <v>104216</v>
      </c>
    </row>
    <row r="201" spans="1:11" x14ac:dyDescent="0.2">
      <c r="A201" t="s">
        <v>223</v>
      </c>
      <c r="B201">
        <v>43</v>
      </c>
      <c r="C201" t="s">
        <v>12</v>
      </c>
      <c r="D201">
        <v>10</v>
      </c>
      <c r="E201">
        <v>86</v>
      </c>
      <c r="F201">
        <v>71</v>
      </c>
      <c r="G201">
        <v>2</v>
      </c>
      <c r="H201" t="s">
        <v>17</v>
      </c>
      <c r="I201" t="s">
        <v>23</v>
      </c>
      <c r="J201" s="1">
        <v>45305</v>
      </c>
      <c r="K201">
        <v>104341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 table</vt:lpstr>
      <vt:lpstr>Sheet1</vt:lpstr>
      <vt:lpstr>hr_dashboard_data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Angelneke Grayson</dc:creator>
  <cp:lastModifiedBy>Angel Grayson</cp:lastModifiedBy>
  <dcterms:created xsi:type="dcterms:W3CDTF">2024-04-22T03:52:46Z</dcterms:created>
  <dcterms:modified xsi:type="dcterms:W3CDTF">2024-04-22T12:53:07Z</dcterms:modified>
</cp:coreProperties>
</file>